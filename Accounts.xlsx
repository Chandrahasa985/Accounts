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160" activeTab="1"/>
  </bookViews>
  <sheets>
    <sheet name="Indalwai Account" sheetId="2" r:id="rId1"/>
    <sheet name="Vijayawada Account" sheetId="4" r:id="rId2"/>
    <sheet name="Ramagundam Account" sheetId="3" r:id="rId3"/>
    <sheet name="Daily Basis" sheetId="6" r:id="rId4"/>
    <sheet name="Sheet1" sheetId="5" state="hidden" r:id="rId5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6"/>
  <c r="D223" i="4"/>
  <c r="D230" s="1"/>
  <c r="E21" i="6"/>
  <c r="G21"/>
  <c r="E20"/>
  <c r="G20" s="1"/>
  <c r="G19"/>
  <c r="E19"/>
  <c r="D158" i="3"/>
  <c r="E17" i="6"/>
  <c r="G17" s="1"/>
  <c r="C230" i="4"/>
  <c r="D216"/>
  <c r="D151" i="3"/>
  <c r="E16" i="6"/>
  <c r="G16" s="1"/>
  <c r="G13"/>
  <c r="D147" i="3"/>
  <c r="N140"/>
  <c r="D203" i="4"/>
  <c r="E13" i="6"/>
  <c r="D202" i="4"/>
  <c r="D198"/>
  <c r="E12" i="6"/>
  <c r="G12" s="1"/>
  <c r="D194" i="4"/>
  <c r="E11" i="6"/>
  <c r="G11" s="1"/>
  <c r="F29"/>
  <c r="F32" s="1"/>
  <c r="D168" i="4"/>
  <c r="G10" i="6"/>
  <c r="E10"/>
  <c r="D163" i="4"/>
  <c r="D165"/>
  <c r="C160" i="3"/>
  <c r="D133"/>
  <c r="D132"/>
  <c r="D98"/>
  <c r="D105"/>
  <c r="D118"/>
  <c r="E9" i="6"/>
  <c r="G9" s="1"/>
  <c r="D115" i="3"/>
  <c r="D114"/>
  <c r="D112"/>
  <c r="D106"/>
  <c r="E8" i="6"/>
  <c r="G8" s="1"/>
  <c r="E7"/>
  <c r="G7" s="1"/>
  <c r="E6"/>
  <c r="G6" s="1"/>
  <c r="G5"/>
  <c r="E5"/>
  <c r="C120" i="3"/>
  <c r="E4" i="6"/>
  <c r="G4" s="1"/>
  <c r="D159" i="4"/>
  <c r="C206"/>
  <c r="D158"/>
  <c r="D91" i="3"/>
  <c r="D92" s="1"/>
  <c r="C92"/>
  <c r="D129" i="4"/>
  <c r="C117"/>
  <c r="D115"/>
  <c r="D109"/>
  <c r="D107"/>
  <c r="D103"/>
  <c r="D87"/>
  <c r="D64"/>
  <c r="D61"/>
  <c r="C82" i="3"/>
  <c r="D55"/>
  <c r="B6" i="5"/>
  <c r="D231" i="4" l="1"/>
  <c r="D160" i="3"/>
  <c r="D161" s="1"/>
  <c r="D120"/>
  <c r="D206" i="4"/>
  <c r="D117"/>
  <c r="I18" i="2"/>
  <c r="H18"/>
  <c r="I17"/>
  <c r="I19" i="3"/>
  <c r="I51" s="1"/>
  <c r="H51"/>
  <c r="D51" i="4"/>
  <c r="C51"/>
  <c r="D207" l="1"/>
  <c r="D17" i="3"/>
  <c r="D7"/>
  <c r="C68" i="2"/>
  <c r="D65"/>
  <c r="D64"/>
  <c r="D62"/>
  <c r="D38"/>
  <c r="D4"/>
  <c r="G14" i="6" l="1"/>
  <c r="G29" s="1"/>
  <c r="G32" s="1"/>
  <c r="G33" s="1"/>
  <c r="D82" i="3"/>
  <c r="D68" i="2"/>
</calcChain>
</file>

<file path=xl/comments1.xml><?xml version="1.0" encoding="utf-8"?>
<comments xmlns="http://schemas.openxmlformats.org/spreadsheetml/2006/main">
  <authors>
    <author>chandra hasa</author>
  </authors>
  <commentList>
    <comment ref="F4" authorId="0">
      <text>
        <r>
          <rPr>
            <b/>
            <sz val="9"/>
            <color indexed="81"/>
            <rFont val="Tahoma"/>
            <family val="2"/>
          </rPr>
          <t>chandra hasa:</t>
        </r>
        <r>
          <rPr>
            <sz val="9"/>
            <color indexed="81"/>
            <rFont val="Tahoma"/>
            <family val="2"/>
          </rPr>
          <t xml:space="preserve">
November 12th 2021
From Office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chandra hasa:</t>
        </r>
        <r>
          <rPr>
            <sz val="9"/>
            <color indexed="81"/>
            <rFont val="Tahoma"/>
            <family val="2"/>
          </rPr>
          <t xml:space="preserve">
From PSP Sir</t>
        </r>
      </text>
    </comment>
    <comment ref="F6" authorId="0">
      <text>
        <r>
          <rPr>
            <b/>
            <sz val="9"/>
            <color indexed="81"/>
            <rFont val="Tahoma"/>
            <family val="2"/>
          </rPr>
          <t>chandra hasa:</t>
        </r>
        <r>
          <rPr>
            <sz val="9"/>
            <color indexed="81"/>
            <rFont val="Tahoma"/>
            <family val="2"/>
          </rPr>
          <t xml:space="preserve">
From PSP Sir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chandra hasa:</t>
        </r>
        <r>
          <rPr>
            <sz val="9"/>
            <color indexed="81"/>
            <rFont val="Tahoma"/>
            <family val="2"/>
          </rPr>
          <t xml:space="preserve">
January 12th 2022
By PSP Sir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chandra hasa:</t>
        </r>
        <r>
          <rPr>
            <sz val="9"/>
            <color indexed="81"/>
            <rFont val="Tahoma"/>
            <family val="2"/>
          </rPr>
          <t xml:space="preserve">
February 20th 2022
By PSP Sir</t>
        </r>
      </text>
    </comment>
  </commentList>
</comments>
</file>

<file path=xl/sharedStrings.xml><?xml version="1.0" encoding="utf-8"?>
<sst xmlns="http://schemas.openxmlformats.org/spreadsheetml/2006/main" count="567" uniqueCount="140">
  <si>
    <t>Indalwai Account</t>
  </si>
  <si>
    <t>Description</t>
  </si>
  <si>
    <t>To Hyderabad</t>
  </si>
  <si>
    <t>Night Meals</t>
  </si>
  <si>
    <t>Tiffin</t>
  </si>
  <si>
    <t>To EC Office</t>
  </si>
  <si>
    <t>From PSP Sir</t>
  </si>
  <si>
    <t>Lunch</t>
  </si>
  <si>
    <t>To Ramagundam</t>
  </si>
  <si>
    <t>To Kamareddy</t>
  </si>
  <si>
    <t xml:space="preserve">Lunch </t>
  </si>
  <si>
    <t>Car Pollution Certificate</t>
  </si>
  <si>
    <t>To Room (From 21 to 25-03-2021)</t>
  </si>
  <si>
    <t>To Room (From 29-Mar to 04-04-21)</t>
  </si>
  <si>
    <t>Laptop Anti Virus Software                     ( 1 Year Plan)</t>
  </si>
  <si>
    <t>From Narendhar</t>
  </si>
  <si>
    <t>Date</t>
  </si>
  <si>
    <t>Cr.</t>
  </si>
  <si>
    <t>Ramagundam Account</t>
  </si>
  <si>
    <t>Dr.</t>
  </si>
  <si>
    <t>From Ramagundam Site</t>
  </si>
  <si>
    <t>Car Diesel</t>
  </si>
  <si>
    <t>Toll Gate Charges</t>
  </si>
  <si>
    <t>Mobile Recharge</t>
  </si>
  <si>
    <t>To E&amp;C Office</t>
  </si>
  <si>
    <t>To Room (From 16 to 17/4/2021)</t>
  </si>
  <si>
    <t xml:space="preserve">Tiffin </t>
  </si>
  <si>
    <t>To Nirmal From indalwai</t>
  </si>
  <si>
    <t>Blanket</t>
  </si>
  <si>
    <t>To Adilabad Up and Down</t>
  </si>
  <si>
    <t>Total</t>
  </si>
  <si>
    <t>Vijayawada Account</t>
  </si>
  <si>
    <t>Petrol</t>
  </si>
  <si>
    <t>From Office</t>
  </si>
  <si>
    <t xml:space="preserve">Petrol </t>
  </si>
  <si>
    <t>To Vjwda ( From Indalwai )</t>
  </si>
  <si>
    <t>To Eluru ( Bus)</t>
  </si>
  <si>
    <t>Hospital Medical Tests</t>
  </si>
  <si>
    <t>Tiffin ( Chandra, Venkatesh)</t>
  </si>
  <si>
    <t>To Eluru Bus</t>
  </si>
  <si>
    <t>Fruits ( PSP Sir &amp; to Office)</t>
  </si>
  <si>
    <t>Night Meals ( Chandra, Venkatesh)</t>
  </si>
  <si>
    <t xml:space="preserve">Tiffin  </t>
  </si>
  <si>
    <t>To Gudivada Up &amp; Down ( Chandra, Pandu Sir )</t>
  </si>
  <si>
    <t>Lunch ( Chandra, Pandu Sir )</t>
  </si>
  <si>
    <t>Bed Sheet ( In Office )</t>
  </si>
  <si>
    <t xml:space="preserve">To Gudivada </t>
  </si>
  <si>
    <t>To Public Health Office</t>
  </si>
  <si>
    <t>To Eluru Up &amp; Down</t>
  </si>
  <si>
    <t>Hospital Fee</t>
  </si>
  <si>
    <t>Clothes Washing</t>
  </si>
  <si>
    <t xml:space="preserve">Fruits  </t>
  </si>
  <si>
    <t>From Office to HB Colony Site Auto Charges ( Up &amp; Down )</t>
  </si>
  <si>
    <t>Gurunanak Site to RWS Office Vjwda Auto Charges</t>
  </si>
  <si>
    <t>Gurunanak Site to RWS Office Vjwda Auto Charges ( Up &amp; Down )</t>
  </si>
  <si>
    <t>From Office to Ambedkar Nagar Colony Site Auto Charges ( Up &amp; Down )</t>
  </si>
  <si>
    <t>Ambedkarnagar Site Drawings Xerox</t>
  </si>
  <si>
    <t>Night meals</t>
  </si>
  <si>
    <t>To Hyderabad (From Nirmal )</t>
  </si>
  <si>
    <t>From Indalwai</t>
  </si>
  <si>
    <t>To Ramagundam ( From HYD )</t>
  </si>
  <si>
    <t>Bike Petrol</t>
  </si>
  <si>
    <t>Department Lunch</t>
  </si>
  <si>
    <t>Registers</t>
  </si>
  <si>
    <t>To Labour (From Peddapally to Ramagundam)</t>
  </si>
  <si>
    <t>Bill Abstract Printouts and Book Binding</t>
  </si>
  <si>
    <t>To Vijayawada From Ramagundam</t>
  </si>
  <si>
    <t>To Home  Up/Down</t>
  </si>
  <si>
    <t>To Hyderabad from Vijayawada</t>
  </si>
  <si>
    <t>Batteries for Laptop Key Board</t>
  </si>
  <si>
    <t>p</t>
  </si>
  <si>
    <t>P</t>
  </si>
  <si>
    <t>Laptop Repair</t>
  </si>
  <si>
    <t>To Room (5/8/21 to 17/8/21)</t>
  </si>
  <si>
    <t>To Vijayawada From Hyderabad</t>
  </si>
  <si>
    <t>Surya</t>
  </si>
  <si>
    <t>Sunil</t>
  </si>
  <si>
    <t>Siva</t>
  </si>
  <si>
    <t>Anna</t>
  </si>
  <si>
    <t>Dhana</t>
  </si>
  <si>
    <t>Clothes Iron</t>
  </si>
  <si>
    <t>Night Meals ( Chandra, Prasad, Suresh )</t>
  </si>
  <si>
    <t>Night Meals ( Chandra, Suresh )</t>
  </si>
  <si>
    <t>Movie ( Chandra, Prasad, Suresh )</t>
  </si>
  <si>
    <t>Lunch ( Chandra, Suresh )</t>
  </si>
  <si>
    <t>Fruits</t>
  </si>
  <si>
    <t>To Ramagundam ( From Vijayawada )</t>
  </si>
  <si>
    <t>Work Done Estimates Printouts</t>
  </si>
  <si>
    <t>To Vijayawada ( From Ramagundam )</t>
  </si>
  <si>
    <t>Hospital Bill ( Chandra )</t>
  </si>
  <si>
    <t>To Home ( From Vijayawada )</t>
  </si>
  <si>
    <t>To Home Up &amp; Down( From Hyderabad )</t>
  </si>
  <si>
    <t>To Hostel ( 3/11/21 to 11/11/21 )</t>
  </si>
  <si>
    <t>Home Up &amp; Down</t>
  </si>
  <si>
    <t>To Ramagundam From Hyderabad</t>
  </si>
  <si>
    <t>To Hyderabad from Ramagundam</t>
  </si>
  <si>
    <t>3/11/21 to 11/11/21</t>
  </si>
  <si>
    <t>17/11/21 to 24/11/21</t>
  </si>
  <si>
    <t>S.No</t>
  </si>
  <si>
    <t>From</t>
  </si>
  <si>
    <t>To</t>
  </si>
  <si>
    <t>Daily Basis</t>
  </si>
  <si>
    <t>Bhainsa Work Done Estimates at E&amp;C Office</t>
  </si>
  <si>
    <t>No.Of Days</t>
  </si>
  <si>
    <t>Ramagundam Work Done Estimates at Ramagundam Site</t>
  </si>
  <si>
    <t>To Ramagundam ( From Home )</t>
  </si>
  <si>
    <t>Batteries</t>
  </si>
  <si>
    <t>Water</t>
  </si>
  <si>
    <t>To Hyderabad ( From Ramagundam )</t>
  </si>
  <si>
    <t>Bill Abstract As Per Work Done Estimates at Ramagundam Site</t>
  </si>
  <si>
    <t>Induction Stove Repair</t>
  </si>
  <si>
    <t>Hospital Fee &amp; Medicine</t>
  </si>
  <si>
    <t>Drawings Drew For Ramagundam Site</t>
  </si>
  <si>
    <t>Vegetables &amp; Chapathi Atta</t>
  </si>
  <si>
    <t>Vegetables</t>
  </si>
  <si>
    <t>Milk ( From 9/1/22 to 16/1/22 )</t>
  </si>
  <si>
    <t>To Home  ( From Ramagundam )</t>
  </si>
  <si>
    <t>Frm PSPR Sir</t>
  </si>
  <si>
    <t>To Ramagundam   ( From Home)</t>
  </si>
  <si>
    <t>Chapathi Atta</t>
  </si>
  <si>
    <t>To Hyderabad  ( From Home)</t>
  </si>
  <si>
    <t>Ramagundam Work Done Estimates at E&amp;C Office</t>
  </si>
  <si>
    <t>To Hostel ( 03/03/22 to 12/03/22 )</t>
  </si>
  <si>
    <t>To Home ( From Hyderabad )</t>
  </si>
  <si>
    <t>To Hyderabad ( From Home )</t>
  </si>
  <si>
    <t>To Hostel ( 17/3/22 )</t>
  </si>
  <si>
    <t>To Ramagundam ( From Hyd )</t>
  </si>
  <si>
    <t>Pickle</t>
  </si>
  <si>
    <t>Daily Spendings</t>
  </si>
  <si>
    <t>To Be Received</t>
  </si>
  <si>
    <t>Eggs</t>
  </si>
  <si>
    <t>Payment from Office ( Received on 26/4/2022 )</t>
  </si>
  <si>
    <t>To Hyderabad  ( From Ramagundam )</t>
  </si>
  <si>
    <t>To Ramagundam ( From Hyderabad )</t>
  </si>
  <si>
    <t>To Home ( From Ramagundam )</t>
  </si>
  <si>
    <t>Payment from Office ( Received on 04/06/2022 )</t>
  </si>
  <si>
    <t>Culvert Drawing for Ramagundam Site</t>
  </si>
  <si>
    <t>Peddapally Building M.Book Measurements</t>
  </si>
  <si>
    <t>Added in daiy basis</t>
  </si>
  <si>
    <t>Peddapally building measurements at Ramagundam Site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</si>
</sst>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1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/>
    <xf numFmtId="1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4" fontId="1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4" fontId="4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64" fontId="2" fillId="0" borderId="0" xfId="1" applyNumberFormat="1" applyFont="1"/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left" vertical="center"/>
    </xf>
    <xf numFmtId="2" fontId="1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I68"/>
  <sheetViews>
    <sheetView topLeftCell="A62" workbookViewId="0">
      <selection activeCell="D68" sqref="D68"/>
    </sheetView>
  </sheetViews>
  <sheetFormatPr defaultRowHeight="15"/>
  <cols>
    <col min="1" max="1" width="12" customWidth="1"/>
    <col min="2" max="2" width="30.28515625" style="1" customWidth="1"/>
    <col min="3" max="4" width="8.5703125" style="1" customWidth="1"/>
    <col min="6" max="6" width="12" customWidth="1"/>
    <col min="7" max="7" width="30.28515625" customWidth="1"/>
    <col min="8" max="9" width="8.5703125" customWidth="1"/>
  </cols>
  <sheetData>
    <row r="1" spans="1:9" ht="23.25">
      <c r="A1" s="80" t="s">
        <v>0</v>
      </c>
      <c r="B1" s="80"/>
      <c r="C1" s="80"/>
      <c r="D1" s="80"/>
      <c r="F1" s="80" t="s">
        <v>0</v>
      </c>
      <c r="G1" s="80"/>
      <c r="H1" s="80"/>
      <c r="I1" s="80"/>
    </row>
    <row r="2" spans="1:9" ht="18.75">
      <c r="A2" s="8" t="s">
        <v>16</v>
      </c>
      <c r="B2" s="9" t="s">
        <v>1</v>
      </c>
      <c r="C2" s="9" t="s">
        <v>17</v>
      </c>
      <c r="D2" s="9" t="s">
        <v>19</v>
      </c>
      <c r="F2" s="8" t="s">
        <v>16</v>
      </c>
      <c r="G2" s="9" t="s">
        <v>1</v>
      </c>
      <c r="H2" s="9" t="s">
        <v>17</v>
      </c>
      <c r="I2" s="9" t="s">
        <v>19</v>
      </c>
    </row>
    <row r="3" spans="1:9" ht="15.75">
      <c r="A3" s="10">
        <v>44269</v>
      </c>
      <c r="B3" s="15"/>
      <c r="C3" s="15">
        <v>23750</v>
      </c>
      <c r="D3" s="15">
        <v>23186</v>
      </c>
      <c r="F3" s="14">
        <v>44324</v>
      </c>
      <c r="G3" s="36" t="s">
        <v>59</v>
      </c>
      <c r="H3" s="15">
        <v>2000</v>
      </c>
      <c r="I3" s="12"/>
    </row>
    <row r="4" spans="1:9">
      <c r="A4" s="27">
        <v>44270</v>
      </c>
      <c r="B4" s="28" t="s">
        <v>2</v>
      </c>
      <c r="C4" s="29"/>
      <c r="D4" s="29">
        <f>160+120</f>
        <v>280</v>
      </c>
      <c r="F4" s="14"/>
      <c r="G4" s="30" t="s">
        <v>4</v>
      </c>
      <c r="H4" s="12"/>
      <c r="I4" s="12">
        <v>40</v>
      </c>
    </row>
    <row r="5" spans="1:9">
      <c r="A5" s="30"/>
      <c r="B5" s="28" t="s">
        <v>3</v>
      </c>
      <c r="C5" s="29"/>
      <c r="D5" s="29">
        <v>100</v>
      </c>
      <c r="F5" s="14"/>
      <c r="G5" s="30" t="s">
        <v>7</v>
      </c>
      <c r="H5" s="12"/>
      <c r="I5" s="12">
        <v>100</v>
      </c>
    </row>
    <row r="6" spans="1:9">
      <c r="A6" s="27">
        <v>44271</v>
      </c>
      <c r="B6" s="28" t="s">
        <v>4</v>
      </c>
      <c r="C6" s="29"/>
      <c r="D6" s="29">
        <v>40</v>
      </c>
      <c r="F6" s="14"/>
      <c r="G6" s="30" t="s">
        <v>23</v>
      </c>
      <c r="H6" s="12"/>
      <c r="I6" s="12">
        <v>598</v>
      </c>
    </row>
    <row r="7" spans="1:9">
      <c r="A7" s="30"/>
      <c r="B7" s="28" t="s">
        <v>5</v>
      </c>
      <c r="C7" s="29"/>
      <c r="D7" s="29">
        <v>125</v>
      </c>
      <c r="F7" s="14"/>
      <c r="G7" s="30" t="s">
        <v>3</v>
      </c>
      <c r="H7" s="12"/>
      <c r="I7" s="12">
        <v>80</v>
      </c>
    </row>
    <row r="8" spans="1:9">
      <c r="A8" s="30"/>
      <c r="B8" s="28" t="s">
        <v>3</v>
      </c>
      <c r="C8" s="29"/>
      <c r="D8" s="29">
        <v>80</v>
      </c>
      <c r="F8" s="14">
        <v>44325</v>
      </c>
      <c r="G8" s="30" t="s">
        <v>4</v>
      </c>
      <c r="H8" s="12"/>
      <c r="I8" s="12">
        <v>40</v>
      </c>
    </row>
    <row r="9" spans="1:9">
      <c r="A9" s="27">
        <v>44272</v>
      </c>
      <c r="B9" s="28" t="s">
        <v>4</v>
      </c>
      <c r="C9" s="29"/>
      <c r="D9" s="29">
        <v>40</v>
      </c>
      <c r="F9" s="14"/>
      <c r="G9" s="30" t="s">
        <v>7</v>
      </c>
      <c r="H9" s="12"/>
      <c r="I9" s="12">
        <v>180</v>
      </c>
    </row>
    <row r="10" spans="1:9">
      <c r="A10" s="30"/>
      <c r="B10" s="28" t="s">
        <v>5</v>
      </c>
      <c r="C10" s="29"/>
      <c r="D10" s="29">
        <v>130</v>
      </c>
      <c r="F10" s="14"/>
      <c r="G10" s="30" t="s">
        <v>3</v>
      </c>
      <c r="H10" s="12"/>
      <c r="I10" s="12">
        <v>80</v>
      </c>
    </row>
    <row r="11" spans="1:9">
      <c r="A11" s="30"/>
      <c r="B11" s="28" t="s">
        <v>3</v>
      </c>
      <c r="C11" s="29"/>
      <c r="D11" s="29">
        <v>80</v>
      </c>
      <c r="F11" s="14">
        <v>44326</v>
      </c>
      <c r="G11" s="30" t="s">
        <v>4</v>
      </c>
      <c r="H11" s="12"/>
      <c r="I11" s="12">
        <v>40</v>
      </c>
    </row>
    <row r="12" spans="1:9">
      <c r="A12" s="27">
        <v>44273</v>
      </c>
      <c r="B12" s="28" t="s">
        <v>4</v>
      </c>
      <c r="C12" s="29"/>
      <c r="D12" s="29">
        <v>40</v>
      </c>
      <c r="F12" s="14"/>
      <c r="G12" s="30" t="s">
        <v>7</v>
      </c>
      <c r="H12" s="12"/>
      <c r="I12" s="12">
        <v>80</v>
      </c>
    </row>
    <row r="13" spans="1:9">
      <c r="A13" s="30"/>
      <c r="B13" s="28" t="s">
        <v>5</v>
      </c>
      <c r="C13" s="29"/>
      <c r="D13" s="29">
        <v>130</v>
      </c>
      <c r="F13" s="14"/>
      <c r="G13" s="30" t="s">
        <v>3</v>
      </c>
      <c r="H13" s="12"/>
      <c r="I13" s="12">
        <v>70</v>
      </c>
    </row>
    <row r="14" spans="1:9">
      <c r="A14" s="30"/>
      <c r="B14" s="28" t="s">
        <v>3</v>
      </c>
      <c r="C14" s="29"/>
      <c r="D14" s="29">
        <v>70</v>
      </c>
      <c r="F14" s="14">
        <v>44327</v>
      </c>
      <c r="G14" s="30" t="s">
        <v>4</v>
      </c>
      <c r="H14" s="12"/>
      <c r="I14" s="12">
        <v>40</v>
      </c>
    </row>
    <row r="15" spans="1:9">
      <c r="A15" s="27">
        <v>44274</v>
      </c>
      <c r="B15" s="28" t="s">
        <v>4</v>
      </c>
      <c r="C15" s="29"/>
      <c r="D15" s="29">
        <v>30</v>
      </c>
      <c r="F15" s="14"/>
      <c r="G15" s="30" t="s">
        <v>7</v>
      </c>
      <c r="H15" s="12"/>
      <c r="I15" s="12">
        <v>90</v>
      </c>
    </row>
    <row r="16" spans="1:9">
      <c r="A16" s="30"/>
      <c r="B16" s="28" t="s">
        <v>5</v>
      </c>
      <c r="C16" s="29"/>
      <c r="D16" s="29">
        <v>120</v>
      </c>
      <c r="F16" s="14"/>
      <c r="G16" s="30" t="s">
        <v>50</v>
      </c>
      <c r="H16" s="12"/>
      <c r="I16" s="12">
        <v>120</v>
      </c>
    </row>
    <row r="17" spans="1:9">
      <c r="A17" s="30"/>
      <c r="B17" s="28" t="s">
        <v>3</v>
      </c>
      <c r="C17" s="29"/>
      <c r="D17" s="29">
        <v>80</v>
      </c>
      <c r="F17" s="14"/>
      <c r="G17" s="30" t="s">
        <v>60</v>
      </c>
      <c r="H17" s="12"/>
      <c r="I17" s="12">
        <f>350+80</f>
        <v>430</v>
      </c>
    </row>
    <row r="18" spans="1:9" ht="18.75">
      <c r="A18" s="27">
        <v>44275</v>
      </c>
      <c r="B18" s="28" t="s">
        <v>4</v>
      </c>
      <c r="C18" s="29"/>
      <c r="D18" s="29">
        <v>30</v>
      </c>
      <c r="F18" s="14"/>
      <c r="G18" s="30"/>
      <c r="H18" s="9">
        <f>SUM(H3:H17)</f>
        <v>2000</v>
      </c>
      <c r="I18" s="9">
        <f>SUM(I3:I17)</f>
        <v>1988</v>
      </c>
    </row>
    <row r="19" spans="1:9">
      <c r="A19" s="30"/>
      <c r="B19" s="28" t="s">
        <v>5</v>
      </c>
      <c r="C19" s="29"/>
      <c r="D19" s="29">
        <v>110</v>
      </c>
    </row>
    <row r="20" spans="1:9" ht="15.75">
      <c r="A20" s="30"/>
      <c r="B20" s="31" t="s">
        <v>6</v>
      </c>
      <c r="C20" s="32">
        <v>3000</v>
      </c>
      <c r="D20" s="29"/>
    </row>
    <row r="21" spans="1:9">
      <c r="A21" s="30"/>
      <c r="B21" s="28" t="s">
        <v>3</v>
      </c>
      <c r="C21" s="29"/>
      <c r="D21" s="29">
        <v>120</v>
      </c>
    </row>
    <row r="22" spans="1:9">
      <c r="A22" s="27">
        <v>44276</v>
      </c>
      <c r="B22" s="28" t="s">
        <v>4</v>
      </c>
      <c r="C22" s="29"/>
      <c r="D22" s="29">
        <v>30</v>
      </c>
    </row>
    <row r="23" spans="1:9" ht="15.75">
      <c r="A23" s="27"/>
      <c r="B23" s="31" t="s">
        <v>15</v>
      </c>
      <c r="C23" s="32">
        <v>3000</v>
      </c>
      <c r="D23" s="29"/>
    </row>
    <row r="24" spans="1:9">
      <c r="A24" s="30"/>
      <c r="B24" s="28" t="s">
        <v>5</v>
      </c>
      <c r="C24" s="29"/>
      <c r="D24" s="29">
        <v>125</v>
      </c>
    </row>
    <row r="25" spans="1:9">
      <c r="A25" s="30"/>
      <c r="B25" s="28" t="s">
        <v>3</v>
      </c>
      <c r="C25" s="29"/>
      <c r="D25" s="29">
        <v>80</v>
      </c>
    </row>
    <row r="26" spans="1:9">
      <c r="A26" s="27">
        <v>44277</v>
      </c>
      <c r="B26" s="28" t="s">
        <v>5</v>
      </c>
      <c r="C26" s="29"/>
      <c r="D26" s="29">
        <v>125</v>
      </c>
    </row>
    <row r="27" spans="1:9">
      <c r="A27" s="30"/>
      <c r="B27" s="28" t="s">
        <v>3</v>
      </c>
      <c r="C27" s="29"/>
      <c r="D27" s="29">
        <v>80</v>
      </c>
    </row>
    <row r="28" spans="1:9">
      <c r="A28" s="27">
        <v>44278</v>
      </c>
      <c r="B28" s="28" t="s">
        <v>5</v>
      </c>
      <c r="C28" s="29"/>
      <c r="D28" s="29">
        <v>110</v>
      </c>
    </row>
    <row r="29" spans="1:9">
      <c r="A29" s="30"/>
      <c r="B29" s="28" t="s">
        <v>3</v>
      </c>
      <c r="C29" s="29"/>
      <c r="D29" s="29">
        <v>80</v>
      </c>
    </row>
    <row r="30" spans="1:9">
      <c r="A30" s="27">
        <v>44279</v>
      </c>
      <c r="B30" s="28" t="s">
        <v>4</v>
      </c>
      <c r="C30" s="29"/>
      <c r="D30" s="29">
        <v>40</v>
      </c>
    </row>
    <row r="31" spans="1:9">
      <c r="A31" s="30"/>
      <c r="B31" s="28" t="s">
        <v>5</v>
      </c>
      <c r="C31" s="29"/>
      <c r="D31" s="29">
        <v>95</v>
      </c>
    </row>
    <row r="32" spans="1:9">
      <c r="A32" s="30"/>
      <c r="B32" s="28" t="s">
        <v>7</v>
      </c>
      <c r="C32" s="29"/>
      <c r="D32" s="29">
        <v>100</v>
      </c>
    </row>
    <row r="33" spans="1:4">
      <c r="A33" s="30"/>
      <c r="B33" s="28" t="s">
        <v>3</v>
      </c>
      <c r="C33" s="29"/>
      <c r="D33" s="29">
        <v>80</v>
      </c>
    </row>
    <row r="34" spans="1:4">
      <c r="A34" s="27">
        <v>44280</v>
      </c>
      <c r="B34" s="28" t="s">
        <v>4</v>
      </c>
      <c r="C34" s="29"/>
      <c r="D34" s="29">
        <v>40</v>
      </c>
    </row>
    <row r="35" spans="1:4" ht="30">
      <c r="A35" s="30"/>
      <c r="B35" s="28" t="s">
        <v>12</v>
      </c>
      <c r="C35" s="29"/>
      <c r="D35" s="29">
        <v>1500</v>
      </c>
    </row>
    <row r="36" spans="1:4">
      <c r="A36" s="30"/>
      <c r="B36" s="28" t="s">
        <v>5</v>
      </c>
      <c r="C36" s="29"/>
      <c r="D36" s="29">
        <v>135</v>
      </c>
    </row>
    <row r="37" spans="1:4">
      <c r="A37" s="27">
        <v>44281</v>
      </c>
      <c r="B37" s="28" t="s">
        <v>4</v>
      </c>
      <c r="C37" s="29"/>
      <c r="D37" s="29">
        <v>40</v>
      </c>
    </row>
    <row r="38" spans="1:4">
      <c r="A38" s="30"/>
      <c r="B38" s="28" t="s">
        <v>8</v>
      </c>
      <c r="C38" s="29"/>
      <c r="D38" s="29">
        <f>250+200</f>
        <v>450</v>
      </c>
    </row>
    <row r="39" spans="1:4">
      <c r="A39" s="27">
        <v>44282</v>
      </c>
      <c r="B39" s="28" t="s">
        <v>4</v>
      </c>
      <c r="C39" s="29"/>
      <c r="D39" s="29">
        <v>30</v>
      </c>
    </row>
    <row r="40" spans="1:4">
      <c r="A40" s="30"/>
      <c r="B40" s="28" t="s">
        <v>5</v>
      </c>
      <c r="C40" s="29"/>
      <c r="D40" s="29">
        <v>146</v>
      </c>
    </row>
    <row r="41" spans="1:4">
      <c r="A41" s="30"/>
      <c r="B41" s="28" t="s">
        <v>7</v>
      </c>
      <c r="C41" s="29"/>
      <c r="D41" s="29">
        <v>120</v>
      </c>
    </row>
    <row r="42" spans="1:4">
      <c r="A42" s="30"/>
      <c r="B42" s="28" t="s">
        <v>3</v>
      </c>
      <c r="C42" s="29"/>
      <c r="D42" s="29">
        <v>60</v>
      </c>
    </row>
    <row r="43" spans="1:4">
      <c r="A43" s="27">
        <v>44283</v>
      </c>
      <c r="B43" s="28" t="s">
        <v>4</v>
      </c>
      <c r="C43" s="29"/>
      <c r="D43" s="29">
        <v>40</v>
      </c>
    </row>
    <row r="44" spans="1:4">
      <c r="A44" s="30"/>
      <c r="B44" s="28" t="s">
        <v>5</v>
      </c>
      <c r="C44" s="29"/>
      <c r="D44" s="29">
        <v>115</v>
      </c>
    </row>
    <row r="45" spans="1:4">
      <c r="A45" s="30"/>
      <c r="B45" s="28" t="s">
        <v>7</v>
      </c>
      <c r="C45" s="29"/>
      <c r="D45" s="29">
        <v>80</v>
      </c>
    </row>
    <row r="46" spans="1:4">
      <c r="A46" s="30"/>
      <c r="B46" s="28" t="s">
        <v>3</v>
      </c>
      <c r="C46" s="29"/>
      <c r="D46" s="29">
        <v>60</v>
      </c>
    </row>
    <row r="47" spans="1:4">
      <c r="A47" s="27">
        <v>44284</v>
      </c>
      <c r="B47" s="28" t="s">
        <v>4</v>
      </c>
      <c r="C47" s="29"/>
      <c r="D47" s="29">
        <v>40</v>
      </c>
    </row>
    <row r="48" spans="1:4">
      <c r="A48" s="27">
        <v>44285</v>
      </c>
      <c r="B48" s="28" t="s">
        <v>4</v>
      </c>
      <c r="C48" s="29"/>
      <c r="D48" s="29">
        <v>40</v>
      </c>
    </row>
    <row r="49" spans="1:4">
      <c r="A49" s="30"/>
      <c r="B49" s="28" t="s">
        <v>5</v>
      </c>
      <c r="C49" s="29"/>
      <c r="D49" s="29">
        <v>130</v>
      </c>
    </row>
    <row r="50" spans="1:4">
      <c r="A50" s="30"/>
      <c r="B50" s="28" t="s">
        <v>3</v>
      </c>
      <c r="C50" s="29"/>
      <c r="D50" s="29">
        <v>80</v>
      </c>
    </row>
    <row r="51" spans="1:4">
      <c r="A51" s="27">
        <v>44286</v>
      </c>
      <c r="B51" s="28" t="s">
        <v>5</v>
      </c>
      <c r="C51" s="29"/>
      <c r="D51" s="29">
        <v>130</v>
      </c>
    </row>
    <row r="52" spans="1:4">
      <c r="A52" s="30"/>
      <c r="B52" s="28" t="s">
        <v>3</v>
      </c>
      <c r="C52" s="29"/>
      <c r="D52" s="29">
        <v>80</v>
      </c>
    </row>
    <row r="53" spans="1:4">
      <c r="A53" s="27">
        <v>44287</v>
      </c>
      <c r="B53" s="28" t="s">
        <v>5</v>
      </c>
      <c r="C53" s="29"/>
      <c r="D53" s="29">
        <v>125</v>
      </c>
    </row>
    <row r="54" spans="1:4">
      <c r="A54" s="30"/>
      <c r="B54" s="28" t="s">
        <v>3</v>
      </c>
      <c r="C54" s="29"/>
      <c r="D54" s="29">
        <v>120</v>
      </c>
    </row>
    <row r="55" spans="1:4">
      <c r="A55" s="27">
        <v>44288</v>
      </c>
      <c r="B55" s="28" t="s">
        <v>4</v>
      </c>
      <c r="C55" s="29"/>
      <c r="D55" s="29">
        <v>40</v>
      </c>
    </row>
    <row r="56" spans="1:4">
      <c r="A56" s="30"/>
      <c r="B56" s="28" t="s">
        <v>3</v>
      </c>
      <c r="C56" s="29"/>
      <c r="D56" s="29">
        <v>70</v>
      </c>
    </row>
    <row r="57" spans="1:4" ht="30">
      <c r="A57" s="30"/>
      <c r="B57" s="28" t="s">
        <v>14</v>
      </c>
      <c r="C57" s="29"/>
      <c r="D57" s="29">
        <v>500</v>
      </c>
    </row>
    <row r="58" spans="1:4">
      <c r="A58" s="27">
        <v>44289</v>
      </c>
      <c r="B58" s="28" t="s">
        <v>4</v>
      </c>
      <c r="C58" s="29"/>
      <c r="D58" s="29">
        <v>40</v>
      </c>
    </row>
    <row r="59" spans="1:4">
      <c r="A59" s="30"/>
      <c r="B59" s="28" t="s">
        <v>5</v>
      </c>
      <c r="C59" s="29"/>
      <c r="D59" s="29">
        <v>120</v>
      </c>
    </row>
    <row r="60" spans="1:4">
      <c r="A60" s="27">
        <v>44290</v>
      </c>
      <c r="B60" s="28" t="s">
        <v>4</v>
      </c>
      <c r="C60" s="29"/>
      <c r="D60" s="29">
        <v>30</v>
      </c>
    </row>
    <row r="61" spans="1:4">
      <c r="A61" s="30"/>
      <c r="B61" s="28" t="s">
        <v>5</v>
      </c>
      <c r="C61" s="29"/>
      <c r="D61" s="29">
        <v>115</v>
      </c>
    </row>
    <row r="62" spans="1:4" ht="30">
      <c r="A62" s="30"/>
      <c r="B62" s="28" t="s">
        <v>13</v>
      </c>
      <c r="C62" s="29"/>
      <c r="D62" s="29">
        <f>7*300</f>
        <v>2100</v>
      </c>
    </row>
    <row r="63" spans="1:4">
      <c r="A63" s="27">
        <v>44291</v>
      </c>
      <c r="B63" s="28" t="s">
        <v>4</v>
      </c>
      <c r="C63" s="29"/>
      <c r="D63" s="29">
        <v>40</v>
      </c>
    </row>
    <row r="64" spans="1:4">
      <c r="A64" s="30"/>
      <c r="B64" s="28" t="s">
        <v>8</v>
      </c>
      <c r="C64" s="29"/>
      <c r="D64" s="29">
        <f>200+325</f>
        <v>525</v>
      </c>
    </row>
    <row r="65" spans="1:4">
      <c r="A65" s="27">
        <v>44296</v>
      </c>
      <c r="B65" s="28" t="s">
        <v>9</v>
      </c>
      <c r="C65" s="29"/>
      <c r="D65" s="29">
        <f>45+85</f>
        <v>130</v>
      </c>
    </row>
    <row r="66" spans="1:4">
      <c r="A66" s="30"/>
      <c r="B66" s="28" t="s">
        <v>10</v>
      </c>
      <c r="C66" s="29"/>
      <c r="D66" s="29">
        <v>80</v>
      </c>
    </row>
    <row r="67" spans="1:4">
      <c r="A67" s="30"/>
      <c r="B67" s="28" t="s">
        <v>11</v>
      </c>
      <c r="C67" s="29"/>
      <c r="D67" s="29">
        <v>100</v>
      </c>
    </row>
    <row r="68" spans="1:4" ht="18.75">
      <c r="A68" s="30"/>
      <c r="B68" s="29"/>
      <c r="C68" s="33">
        <f>SUM(C3:C67)</f>
        <v>29750</v>
      </c>
      <c r="D68" s="33">
        <f>SUM(D3:D67)</f>
        <v>33187</v>
      </c>
    </row>
  </sheetData>
  <mergeCells count="2">
    <mergeCell ref="A1:D1"/>
    <mergeCell ref="F1:I1"/>
  </mergeCells>
  <pageMargins left="0.70866141732283472" right="0.70866141732283472" top="0.74803149606299213" bottom="0.74803149606299213" header="0.31496062992125984" footer="0.31496062992125984"/>
  <pageSetup paperSize="9" scale="1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G231"/>
  <sheetViews>
    <sheetView tabSelected="1" topLeftCell="A218" workbookViewId="0">
      <selection activeCell="F210" sqref="F210"/>
    </sheetView>
  </sheetViews>
  <sheetFormatPr defaultRowHeight="15"/>
  <cols>
    <col min="1" max="1" width="11.5703125" style="6" customWidth="1"/>
    <col min="2" max="2" width="35.5703125" style="6" customWidth="1"/>
    <col min="3" max="4" width="10" style="6" customWidth="1"/>
    <col min="5" max="16384" width="9.140625" style="6"/>
  </cols>
  <sheetData>
    <row r="1" spans="1:4" ht="21">
      <c r="A1" s="81" t="s">
        <v>31</v>
      </c>
      <c r="B1" s="81"/>
      <c r="C1" s="81"/>
      <c r="D1" s="81"/>
    </row>
    <row r="2" spans="1:4" ht="10.5" customHeight="1">
      <c r="A2" s="7"/>
      <c r="B2" s="7"/>
      <c r="C2" s="7"/>
      <c r="D2" s="7"/>
    </row>
    <row r="3" spans="1:4" ht="18.75">
      <c r="A3" s="8" t="s">
        <v>16</v>
      </c>
      <c r="B3" s="9" t="s">
        <v>1</v>
      </c>
      <c r="C3" s="9" t="s">
        <v>17</v>
      </c>
      <c r="D3" s="9" t="s">
        <v>19</v>
      </c>
    </row>
    <row r="4" spans="1:4" ht="15.75">
      <c r="A4" s="37">
        <v>43601</v>
      </c>
      <c r="B4" s="38" t="s">
        <v>32</v>
      </c>
      <c r="C4" s="39"/>
      <c r="D4" s="12">
        <v>100</v>
      </c>
    </row>
    <row r="5" spans="1:4">
      <c r="A5" s="40">
        <v>43602</v>
      </c>
      <c r="B5" s="41" t="s">
        <v>33</v>
      </c>
      <c r="C5" s="11">
        <v>3084</v>
      </c>
      <c r="D5" s="12"/>
    </row>
    <row r="6" spans="1:4">
      <c r="A6" s="12"/>
      <c r="B6" s="13" t="s">
        <v>4</v>
      </c>
      <c r="C6" s="12"/>
      <c r="D6" s="12">
        <v>40</v>
      </c>
    </row>
    <row r="7" spans="1:4">
      <c r="A7" s="14"/>
      <c r="B7" s="13" t="s">
        <v>10</v>
      </c>
      <c r="C7" s="12"/>
      <c r="D7" s="12">
        <v>80</v>
      </c>
    </row>
    <row r="8" spans="1:4">
      <c r="A8" s="12"/>
      <c r="B8" s="13" t="s">
        <v>34</v>
      </c>
      <c r="C8" s="12"/>
      <c r="D8" s="12">
        <v>100</v>
      </c>
    </row>
    <row r="9" spans="1:4">
      <c r="A9" s="14">
        <v>43603</v>
      </c>
      <c r="B9" s="13" t="s">
        <v>4</v>
      </c>
      <c r="C9" s="12"/>
      <c r="D9" s="12">
        <v>40</v>
      </c>
    </row>
    <row r="10" spans="1:4">
      <c r="A10" s="14"/>
      <c r="B10" s="13" t="s">
        <v>10</v>
      </c>
      <c r="C10" s="12"/>
      <c r="D10" s="12">
        <v>100</v>
      </c>
    </row>
    <row r="11" spans="1:4">
      <c r="A11" s="14">
        <v>43626</v>
      </c>
      <c r="B11" s="13" t="s">
        <v>35</v>
      </c>
      <c r="C11" s="12"/>
      <c r="D11" s="12">
        <v>750</v>
      </c>
    </row>
    <row r="12" spans="1:4">
      <c r="A12" s="14"/>
      <c r="B12" s="13" t="s">
        <v>4</v>
      </c>
      <c r="C12" s="12"/>
      <c r="D12" s="12">
        <v>40</v>
      </c>
    </row>
    <row r="13" spans="1:4">
      <c r="A13" s="12"/>
      <c r="B13" s="13" t="s">
        <v>3</v>
      </c>
      <c r="C13" s="12"/>
      <c r="D13" s="12">
        <v>90</v>
      </c>
    </row>
    <row r="14" spans="1:4">
      <c r="A14" s="12"/>
      <c r="B14" s="13" t="s">
        <v>36</v>
      </c>
      <c r="C14" s="12"/>
      <c r="D14" s="12">
        <v>180</v>
      </c>
    </row>
    <row r="15" spans="1:4">
      <c r="A15" s="14"/>
      <c r="B15" s="13" t="s">
        <v>37</v>
      </c>
      <c r="C15" s="12"/>
      <c r="D15" s="12">
        <v>1340</v>
      </c>
    </row>
    <row r="16" spans="1:4">
      <c r="A16" s="14">
        <v>43627</v>
      </c>
      <c r="B16" s="13" t="s">
        <v>38</v>
      </c>
      <c r="C16" s="12"/>
      <c r="D16" s="12">
        <v>90</v>
      </c>
    </row>
    <row r="17" spans="1:4">
      <c r="A17" s="12"/>
      <c r="B17" s="13" t="s">
        <v>10</v>
      </c>
      <c r="C17" s="12"/>
      <c r="D17" s="12">
        <v>80</v>
      </c>
    </row>
    <row r="18" spans="1:4">
      <c r="A18" s="12"/>
      <c r="B18" s="13" t="s">
        <v>39</v>
      </c>
      <c r="C18" s="12"/>
      <c r="D18" s="12">
        <v>180</v>
      </c>
    </row>
    <row r="19" spans="1:4">
      <c r="A19" s="14"/>
      <c r="B19" s="13" t="s">
        <v>40</v>
      </c>
      <c r="C19" s="12"/>
      <c r="D19" s="12">
        <v>300</v>
      </c>
    </row>
    <row r="20" spans="1:4">
      <c r="A20" s="14">
        <v>43628</v>
      </c>
      <c r="B20" s="13" t="s">
        <v>38</v>
      </c>
      <c r="C20" s="12"/>
      <c r="D20" s="12">
        <v>80</v>
      </c>
    </row>
    <row r="21" spans="1:4">
      <c r="A21" s="12"/>
      <c r="B21" s="13" t="s">
        <v>10</v>
      </c>
      <c r="C21" s="12"/>
      <c r="D21" s="12">
        <v>80</v>
      </c>
    </row>
    <row r="22" spans="1:4">
      <c r="A22" s="14">
        <v>43629</v>
      </c>
      <c r="B22" s="13" t="s">
        <v>38</v>
      </c>
      <c r="C22" s="12"/>
      <c r="D22" s="12">
        <v>90</v>
      </c>
    </row>
    <row r="23" spans="1:4">
      <c r="A23" s="12"/>
      <c r="B23" s="13" t="s">
        <v>10</v>
      </c>
      <c r="C23" s="12"/>
      <c r="D23" s="12">
        <v>90</v>
      </c>
    </row>
    <row r="24" spans="1:4">
      <c r="A24" s="14"/>
      <c r="B24" s="41" t="s">
        <v>33</v>
      </c>
      <c r="C24" s="11">
        <v>1000</v>
      </c>
      <c r="D24" s="12"/>
    </row>
    <row r="25" spans="1:4">
      <c r="A25" s="12"/>
      <c r="B25" s="28" t="s">
        <v>41</v>
      </c>
      <c r="C25" s="12"/>
      <c r="D25" s="12">
        <v>160</v>
      </c>
    </row>
    <row r="26" spans="1:4">
      <c r="A26" s="14">
        <v>43649</v>
      </c>
      <c r="B26" s="13" t="s">
        <v>35</v>
      </c>
      <c r="C26" s="12"/>
      <c r="D26" s="12">
        <v>637</v>
      </c>
    </row>
    <row r="27" spans="1:4">
      <c r="A27" s="14"/>
      <c r="B27" s="13" t="s">
        <v>42</v>
      </c>
      <c r="C27" s="12"/>
      <c r="D27" s="12">
        <v>40</v>
      </c>
    </row>
    <row r="28" spans="1:4" ht="30">
      <c r="A28" s="14"/>
      <c r="B28" s="28" t="s">
        <v>43</v>
      </c>
      <c r="C28" s="12"/>
      <c r="D28" s="12">
        <v>180</v>
      </c>
    </row>
    <row r="29" spans="1:4">
      <c r="A29" s="12"/>
      <c r="B29" s="13" t="s">
        <v>44</v>
      </c>
      <c r="C29" s="12"/>
      <c r="D29" s="12">
        <v>220</v>
      </c>
    </row>
    <row r="30" spans="1:4">
      <c r="A30" s="14"/>
      <c r="B30" s="41" t="s">
        <v>33</v>
      </c>
      <c r="C30" s="11">
        <v>1000</v>
      </c>
      <c r="D30" s="12"/>
    </row>
    <row r="31" spans="1:4">
      <c r="A31" s="14">
        <v>43650</v>
      </c>
      <c r="B31" s="13" t="s">
        <v>4</v>
      </c>
      <c r="C31" s="12"/>
      <c r="D31" s="12">
        <v>40</v>
      </c>
    </row>
    <row r="32" spans="1:4">
      <c r="A32" s="14">
        <v>43865</v>
      </c>
      <c r="B32" s="13" t="s">
        <v>45</v>
      </c>
      <c r="C32" s="12"/>
      <c r="D32" s="12">
        <v>150</v>
      </c>
    </row>
    <row r="33" spans="1:7">
      <c r="A33" s="14">
        <v>43866</v>
      </c>
      <c r="B33" s="13" t="s">
        <v>46</v>
      </c>
      <c r="C33" s="12"/>
      <c r="D33" s="12">
        <v>140</v>
      </c>
    </row>
    <row r="34" spans="1:7">
      <c r="A34" s="12"/>
      <c r="B34" s="13" t="s">
        <v>7</v>
      </c>
      <c r="C34" s="12"/>
      <c r="D34" s="12">
        <v>100</v>
      </c>
    </row>
    <row r="35" spans="1:7">
      <c r="A35" s="14">
        <v>43868</v>
      </c>
      <c r="B35" s="13" t="s">
        <v>47</v>
      </c>
      <c r="C35" s="12"/>
      <c r="D35" s="12">
        <v>130</v>
      </c>
    </row>
    <row r="36" spans="1:7">
      <c r="A36" s="12"/>
      <c r="B36" s="13" t="s">
        <v>7</v>
      </c>
      <c r="C36" s="12"/>
      <c r="D36" s="12">
        <v>90</v>
      </c>
    </row>
    <row r="37" spans="1:7">
      <c r="A37" s="14"/>
      <c r="B37" s="41" t="s">
        <v>33</v>
      </c>
      <c r="C37" s="11">
        <v>1000</v>
      </c>
      <c r="D37" s="12"/>
    </row>
    <row r="38" spans="1:7">
      <c r="A38" s="14">
        <v>43892</v>
      </c>
      <c r="B38" s="13" t="s">
        <v>48</v>
      </c>
      <c r="C38" s="12"/>
      <c r="D38" s="12">
        <v>230</v>
      </c>
    </row>
    <row r="39" spans="1:7">
      <c r="A39" s="14"/>
      <c r="B39" s="13" t="s">
        <v>49</v>
      </c>
      <c r="C39" s="12"/>
      <c r="D39" s="12">
        <v>634</v>
      </c>
    </row>
    <row r="40" spans="1:7">
      <c r="A40" s="12"/>
      <c r="B40" s="13" t="s">
        <v>7</v>
      </c>
      <c r="C40" s="12"/>
      <c r="D40" s="12">
        <v>90</v>
      </c>
    </row>
    <row r="41" spans="1:7" ht="15.75">
      <c r="A41" s="14">
        <v>43896</v>
      </c>
      <c r="B41" s="13" t="s">
        <v>50</v>
      </c>
      <c r="C41" s="15"/>
      <c r="D41" s="42">
        <v>150</v>
      </c>
    </row>
    <row r="42" spans="1:7" ht="30">
      <c r="A42" s="14"/>
      <c r="B42" s="28" t="s">
        <v>52</v>
      </c>
      <c r="C42" s="15"/>
      <c r="D42" s="42">
        <v>115</v>
      </c>
    </row>
    <row r="43" spans="1:7" ht="15.75">
      <c r="A43" s="14">
        <v>43899</v>
      </c>
      <c r="B43" s="13" t="s">
        <v>51</v>
      </c>
      <c r="C43" s="15"/>
      <c r="D43" s="42">
        <v>60</v>
      </c>
      <c r="G43" s="6" t="s">
        <v>70</v>
      </c>
    </row>
    <row r="44" spans="1:7" ht="30">
      <c r="A44" s="14"/>
      <c r="B44" s="28" t="s">
        <v>52</v>
      </c>
      <c r="C44" s="15"/>
      <c r="D44" s="42">
        <v>85</v>
      </c>
    </row>
    <row r="45" spans="1:7" ht="15.75">
      <c r="A45" s="14">
        <v>43901</v>
      </c>
      <c r="B45" s="13" t="s">
        <v>38</v>
      </c>
      <c r="C45" s="15"/>
      <c r="D45" s="42">
        <v>90</v>
      </c>
    </row>
    <row r="46" spans="1:7" ht="30">
      <c r="A46" s="14">
        <v>43902</v>
      </c>
      <c r="B46" s="28" t="s">
        <v>53</v>
      </c>
      <c r="C46" s="15"/>
      <c r="D46" s="42">
        <v>66</v>
      </c>
      <c r="G46" s="6" t="s">
        <v>71</v>
      </c>
    </row>
    <row r="47" spans="1:7" ht="30">
      <c r="A47" s="14">
        <v>43903</v>
      </c>
      <c r="B47" s="28" t="s">
        <v>54</v>
      </c>
      <c r="C47" s="15"/>
      <c r="D47" s="42">
        <v>180</v>
      </c>
    </row>
    <row r="48" spans="1:7" ht="15.75">
      <c r="A48" s="14">
        <v>43904</v>
      </c>
      <c r="B48" s="41" t="s">
        <v>33</v>
      </c>
      <c r="C48" s="11">
        <v>2000</v>
      </c>
      <c r="D48" s="42"/>
    </row>
    <row r="49" spans="1:4" ht="45">
      <c r="A49" s="14"/>
      <c r="B49" s="28" t="s">
        <v>55</v>
      </c>
      <c r="C49" s="15"/>
      <c r="D49" s="42">
        <v>75</v>
      </c>
    </row>
    <row r="50" spans="1:4" ht="15.75">
      <c r="A50" s="14"/>
      <c r="B50" s="28" t="s">
        <v>56</v>
      </c>
      <c r="C50" s="15"/>
      <c r="D50" s="42">
        <v>355</v>
      </c>
    </row>
    <row r="51" spans="1:4" ht="18.75">
      <c r="A51" s="14"/>
      <c r="B51" s="43" t="s">
        <v>30</v>
      </c>
      <c r="C51" s="44">
        <f>SUM(C4:C50)</f>
        <v>8084</v>
      </c>
      <c r="D51" s="45">
        <f>SUM(D4:D50)</f>
        <v>7867</v>
      </c>
    </row>
    <row r="53" spans="1:4" ht="21" customHeight="1">
      <c r="A53" s="81" t="s">
        <v>31</v>
      </c>
      <c r="B53" s="81"/>
      <c r="C53" s="81"/>
      <c r="D53" s="81"/>
    </row>
    <row r="54" spans="1:4" ht="12" customHeight="1">
      <c r="A54" s="82"/>
      <c r="B54" s="82"/>
      <c r="C54" s="82"/>
      <c r="D54" s="82"/>
    </row>
    <row r="55" spans="1:4" ht="18.75">
      <c r="A55" s="8" t="s">
        <v>16</v>
      </c>
      <c r="B55" s="9" t="s">
        <v>1</v>
      </c>
      <c r="C55" s="9" t="s">
        <v>17</v>
      </c>
      <c r="D55" s="9" t="s">
        <v>19</v>
      </c>
    </row>
    <row r="56" spans="1:4" ht="15.75">
      <c r="A56" s="10">
        <v>44325</v>
      </c>
      <c r="B56" s="50" t="s">
        <v>33</v>
      </c>
      <c r="C56" s="15">
        <v>4000</v>
      </c>
      <c r="D56" s="12"/>
    </row>
    <row r="57" spans="1:4">
      <c r="A57" s="53">
        <v>44403</v>
      </c>
      <c r="B57" s="54" t="s">
        <v>66</v>
      </c>
      <c r="C57" s="55"/>
      <c r="D57" s="55">
        <v>794</v>
      </c>
    </row>
    <row r="58" spans="1:4">
      <c r="A58" s="55"/>
      <c r="B58" s="54" t="s">
        <v>3</v>
      </c>
      <c r="C58" s="55"/>
      <c r="D58" s="55">
        <v>260</v>
      </c>
    </row>
    <row r="59" spans="1:4">
      <c r="A59" s="53">
        <v>44408</v>
      </c>
      <c r="B59" s="54" t="s">
        <v>23</v>
      </c>
      <c r="C59" s="55"/>
      <c r="D59" s="55">
        <v>598</v>
      </c>
    </row>
    <row r="60" spans="1:4" ht="15.75">
      <c r="A60" s="53"/>
      <c r="B60" s="50" t="s">
        <v>33</v>
      </c>
      <c r="C60" s="15">
        <v>2000</v>
      </c>
      <c r="D60" s="55"/>
    </row>
    <row r="61" spans="1:4">
      <c r="A61" s="53">
        <v>44410</v>
      </c>
      <c r="B61" s="54" t="s">
        <v>67</v>
      </c>
      <c r="C61" s="55"/>
      <c r="D61" s="55">
        <f>432+598+50</f>
        <v>1080</v>
      </c>
    </row>
    <row r="62" spans="1:4" ht="15.75">
      <c r="A62" s="10">
        <v>44413</v>
      </c>
      <c r="B62" s="50" t="s">
        <v>33</v>
      </c>
      <c r="C62" s="15">
        <v>4000</v>
      </c>
      <c r="D62" s="55"/>
    </row>
    <row r="63" spans="1:4">
      <c r="A63" s="14"/>
      <c r="B63" s="13" t="s">
        <v>4</v>
      </c>
      <c r="C63" s="12"/>
      <c r="D63" s="12">
        <v>60</v>
      </c>
    </row>
    <row r="64" spans="1:4">
      <c r="A64" s="14"/>
      <c r="B64" s="13" t="s">
        <v>68</v>
      </c>
      <c r="C64" s="12"/>
      <c r="D64" s="12">
        <f>630+40+20</f>
        <v>690</v>
      </c>
    </row>
    <row r="65" spans="1:4">
      <c r="A65" s="14"/>
      <c r="B65" s="13" t="s">
        <v>7</v>
      </c>
      <c r="C65" s="12"/>
      <c r="D65" s="12">
        <v>150</v>
      </c>
    </row>
    <row r="66" spans="1:4">
      <c r="A66" s="12"/>
      <c r="B66" s="13" t="s">
        <v>3</v>
      </c>
      <c r="C66" s="12"/>
      <c r="D66" s="12">
        <v>110</v>
      </c>
    </row>
    <row r="67" spans="1:4">
      <c r="A67" s="14">
        <v>44414</v>
      </c>
      <c r="B67" s="13" t="s">
        <v>4</v>
      </c>
      <c r="C67" s="12"/>
      <c r="D67" s="12">
        <v>45</v>
      </c>
    </row>
    <row r="68" spans="1:4">
      <c r="A68" s="14"/>
      <c r="B68" s="13" t="s">
        <v>5</v>
      </c>
      <c r="C68" s="12"/>
      <c r="D68" s="12">
        <v>100</v>
      </c>
    </row>
    <row r="69" spans="1:4">
      <c r="A69" s="14"/>
      <c r="B69" s="13" t="s">
        <v>7</v>
      </c>
      <c r="C69" s="12"/>
      <c r="D69" s="12">
        <v>150</v>
      </c>
    </row>
    <row r="70" spans="1:4">
      <c r="A70" s="14"/>
      <c r="B70" s="13" t="s">
        <v>3</v>
      </c>
      <c r="C70" s="12"/>
      <c r="D70" s="12">
        <v>70</v>
      </c>
    </row>
    <row r="71" spans="1:4">
      <c r="A71" s="14">
        <v>44415</v>
      </c>
      <c r="B71" s="13" t="s">
        <v>5</v>
      </c>
      <c r="C71" s="12"/>
      <c r="D71" s="12">
        <v>100</v>
      </c>
    </row>
    <row r="72" spans="1:4">
      <c r="A72" s="12"/>
      <c r="B72" s="13" t="s">
        <v>7</v>
      </c>
      <c r="C72" s="12"/>
      <c r="D72" s="12">
        <v>130</v>
      </c>
    </row>
    <row r="73" spans="1:4">
      <c r="A73" s="14"/>
      <c r="B73" s="13" t="s">
        <v>3</v>
      </c>
      <c r="C73" s="12"/>
      <c r="D73" s="12">
        <v>50</v>
      </c>
    </row>
    <row r="74" spans="1:4">
      <c r="A74" s="14"/>
      <c r="B74" s="13" t="s">
        <v>69</v>
      </c>
      <c r="C74" s="12"/>
      <c r="D74" s="12">
        <v>120</v>
      </c>
    </row>
    <row r="75" spans="1:4">
      <c r="A75" s="14">
        <v>44416</v>
      </c>
      <c r="B75" s="13" t="s">
        <v>4</v>
      </c>
      <c r="C75" s="12"/>
      <c r="D75" s="12">
        <v>45</v>
      </c>
    </row>
    <row r="76" spans="1:4">
      <c r="A76" s="12"/>
      <c r="B76" s="13" t="s">
        <v>3</v>
      </c>
      <c r="C76" s="12"/>
      <c r="D76" s="12">
        <v>60</v>
      </c>
    </row>
    <row r="77" spans="1:4">
      <c r="A77" s="14">
        <v>44417</v>
      </c>
      <c r="B77" s="13" t="s">
        <v>5</v>
      </c>
      <c r="C77" s="12"/>
      <c r="D77" s="12">
        <v>100</v>
      </c>
    </row>
    <row r="78" spans="1:4">
      <c r="A78" s="12"/>
      <c r="B78" s="13" t="s">
        <v>7</v>
      </c>
      <c r="C78" s="12"/>
      <c r="D78" s="12">
        <v>140</v>
      </c>
    </row>
    <row r="79" spans="1:4">
      <c r="A79" s="14"/>
      <c r="B79" s="13" t="s">
        <v>3</v>
      </c>
      <c r="C79" s="12"/>
      <c r="D79" s="12">
        <v>60</v>
      </c>
    </row>
    <row r="80" spans="1:4">
      <c r="A80" s="14">
        <v>44418</v>
      </c>
      <c r="B80" s="13" t="s">
        <v>4</v>
      </c>
      <c r="C80" s="12"/>
      <c r="D80" s="12">
        <v>40</v>
      </c>
    </row>
    <row r="81" spans="1:4">
      <c r="A81" s="14"/>
      <c r="B81" s="13" t="s">
        <v>5</v>
      </c>
      <c r="C81" s="12"/>
      <c r="D81" s="12">
        <v>100</v>
      </c>
    </row>
    <row r="82" spans="1:4">
      <c r="A82" s="12"/>
      <c r="B82" s="13" t="s">
        <v>7</v>
      </c>
      <c r="C82" s="12"/>
      <c r="D82" s="12">
        <v>120</v>
      </c>
    </row>
    <row r="83" spans="1:4">
      <c r="A83" s="14"/>
      <c r="B83" s="13" t="s">
        <v>3</v>
      </c>
      <c r="C83" s="12"/>
      <c r="D83" s="12">
        <v>50</v>
      </c>
    </row>
    <row r="84" spans="1:4">
      <c r="A84" s="14">
        <v>44419</v>
      </c>
      <c r="B84" s="13" t="s">
        <v>5</v>
      </c>
      <c r="C84" s="12"/>
      <c r="D84" s="12">
        <v>100</v>
      </c>
    </row>
    <row r="85" spans="1:4">
      <c r="A85" s="14"/>
      <c r="B85" s="13" t="s">
        <v>7</v>
      </c>
      <c r="C85" s="12"/>
      <c r="D85" s="12">
        <v>130</v>
      </c>
    </row>
    <row r="86" spans="1:4">
      <c r="A86" s="14"/>
      <c r="B86" s="13" t="s">
        <v>3</v>
      </c>
      <c r="C86" s="12"/>
      <c r="D86" s="12">
        <v>70</v>
      </c>
    </row>
    <row r="87" spans="1:4">
      <c r="A87" s="14"/>
      <c r="B87" s="13" t="s">
        <v>50</v>
      </c>
      <c r="C87" s="12"/>
      <c r="D87" s="12">
        <f>7*45</f>
        <v>315</v>
      </c>
    </row>
    <row r="88" spans="1:4">
      <c r="A88" s="14">
        <v>44420</v>
      </c>
      <c r="B88" s="13" t="s">
        <v>4</v>
      </c>
      <c r="C88" s="12"/>
      <c r="D88" s="12">
        <v>40</v>
      </c>
    </row>
    <row r="89" spans="1:4">
      <c r="A89" s="14"/>
      <c r="B89" s="13" t="s">
        <v>5</v>
      </c>
      <c r="C89" s="12"/>
      <c r="D89" s="12">
        <v>100</v>
      </c>
    </row>
    <row r="90" spans="1:4">
      <c r="A90" s="12"/>
      <c r="B90" s="13" t="s">
        <v>7</v>
      </c>
      <c r="C90" s="12"/>
      <c r="D90" s="12">
        <v>130</v>
      </c>
    </row>
    <row r="91" spans="1:4">
      <c r="A91" s="14"/>
      <c r="B91" s="13" t="s">
        <v>3</v>
      </c>
      <c r="C91" s="12"/>
      <c r="D91" s="12">
        <v>50</v>
      </c>
    </row>
    <row r="92" spans="1:4">
      <c r="A92" s="14">
        <v>44421</v>
      </c>
      <c r="B92" s="13" t="s">
        <v>4</v>
      </c>
      <c r="C92" s="12"/>
      <c r="D92" s="12">
        <v>40</v>
      </c>
    </row>
    <row r="93" spans="1:4">
      <c r="A93" s="14"/>
      <c r="B93" s="13" t="s">
        <v>5</v>
      </c>
      <c r="C93" s="12"/>
      <c r="D93" s="12">
        <v>100</v>
      </c>
    </row>
    <row r="94" spans="1:4">
      <c r="A94" s="12"/>
      <c r="B94" s="13" t="s">
        <v>7</v>
      </c>
      <c r="C94" s="12"/>
      <c r="D94" s="12">
        <v>100</v>
      </c>
    </row>
    <row r="95" spans="1:4" ht="15.75">
      <c r="A95" s="14">
        <v>44422</v>
      </c>
      <c r="B95" s="13" t="s">
        <v>5</v>
      </c>
      <c r="C95" s="15"/>
      <c r="D95" s="56">
        <v>100</v>
      </c>
    </row>
    <row r="96" spans="1:4">
      <c r="A96" s="14"/>
      <c r="B96" s="13" t="s">
        <v>7</v>
      </c>
      <c r="C96" s="12"/>
      <c r="D96" s="12">
        <v>130</v>
      </c>
    </row>
    <row r="97" spans="1:4" ht="15.75">
      <c r="A97" s="14"/>
      <c r="B97" s="13" t="s">
        <v>3</v>
      </c>
      <c r="C97" s="15"/>
      <c r="D97" s="42">
        <v>60</v>
      </c>
    </row>
    <row r="98" spans="1:4" ht="15.75">
      <c r="A98" s="14">
        <v>44423</v>
      </c>
      <c r="B98" s="13" t="s">
        <v>4</v>
      </c>
      <c r="C98" s="15"/>
      <c r="D98" s="56">
        <v>40</v>
      </c>
    </row>
    <row r="99" spans="1:4">
      <c r="A99" s="14"/>
      <c r="B99" s="13" t="s">
        <v>3</v>
      </c>
      <c r="C99" s="12"/>
      <c r="D99" s="12">
        <v>80</v>
      </c>
    </row>
    <row r="100" spans="1:4">
      <c r="A100" s="14">
        <v>44424</v>
      </c>
      <c r="B100" s="13" t="s">
        <v>5</v>
      </c>
      <c r="C100" s="12"/>
      <c r="D100" s="12">
        <v>100</v>
      </c>
    </row>
    <row r="101" spans="1:4">
      <c r="A101" s="14"/>
      <c r="B101" s="13" t="s">
        <v>7</v>
      </c>
      <c r="C101" s="12"/>
      <c r="D101" s="12">
        <v>120</v>
      </c>
    </row>
    <row r="102" spans="1:4">
      <c r="A102" s="14"/>
      <c r="B102" s="13" t="s">
        <v>72</v>
      </c>
      <c r="C102" s="12"/>
      <c r="D102" s="12">
        <v>500</v>
      </c>
    </row>
    <row r="103" spans="1:4">
      <c r="A103" s="14"/>
      <c r="B103" s="13" t="s">
        <v>50</v>
      </c>
      <c r="C103" s="12"/>
      <c r="D103" s="12">
        <f>6*45</f>
        <v>270</v>
      </c>
    </row>
    <row r="104" spans="1:4" ht="15.75">
      <c r="A104" s="14"/>
      <c r="B104" s="50" t="s">
        <v>33</v>
      </c>
      <c r="C104" s="15">
        <v>3000</v>
      </c>
      <c r="D104" s="12"/>
    </row>
    <row r="105" spans="1:4">
      <c r="A105" s="14">
        <v>44425</v>
      </c>
      <c r="B105" s="13" t="s">
        <v>4</v>
      </c>
      <c r="C105" s="12"/>
      <c r="D105" s="12">
        <v>40</v>
      </c>
    </row>
    <row r="106" spans="1:4">
      <c r="A106" s="14"/>
      <c r="B106" s="13" t="s">
        <v>7</v>
      </c>
      <c r="C106" s="12"/>
      <c r="D106" s="12">
        <v>140</v>
      </c>
    </row>
    <row r="107" spans="1:4">
      <c r="A107" s="14"/>
      <c r="B107" s="13" t="s">
        <v>73</v>
      </c>
      <c r="C107" s="12"/>
      <c r="D107" s="12">
        <f>13*300</f>
        <v>3900</v>
      </c>
    </row>
    <row r="108" spans="1:4" ht="15.75">
      <c r="A108" s="14"/>
      <c r="B108" s="13" t="s">
        <v>3</v>
      </c>
      <c r="C108" s="15"/>
      <c r="D108" s="42">
        <v>60</v>
      </c>
    </row>
    <row r="109" spans="1:4">
      <c r="A109" s="14"/>
      <c r="B109" s="13" t="s">
        <v>74</v>
      </c>
      <c r="C109" s="12"/>
      <c r="D109" s="12">
        <f>437+120</f>
        <v>557</v>
      </c>
    </row>
    <row r="110" spans="1:4">
      <c r="A110" s="14">
        <v>44436</v>
      </c>
      <c r="B110" s="13" t="s">
        <v>80</v>
      </c>
      <c r="C110" s="12"/>
      <c r="D110" s="12">
        <v>55</v>
      </c>
    </row>
    <row r="111" spans="1:4" ht="15.75">
      <c r="A111" s="14">
        <v>44438</v>
      </c>
      <c r="B111" s="13" t="s">
        <v>3</v>
      </c>
      <c r="C111" s="11"/>
      <c r="D111" s="42">
        <v>80</v>
      </c>
    </row>
    <row r="112" spans="1:4" ht="15.75">
      <c r="A112" s="14">
        <v>44439</v>
      </c>
      <c r="B112" s="13" t="s">
        <v>3</v>
      </c>
      <c r="C112" s="15"/>
      <c r="D112" s="42">
        <v>80</v>
      </c>
    </row>
    <row r="113" spans="1:6" ht="15.75">
      <c r="A113" s="14">
        <v>44441</v>
      </c>
      <c r="B113" s="13" t="s">
        <v>81</v>
      </c>
      <c r="C113" s="15"/>
      <c r="D113" s="42">
        <v>270</v>
      </c>
    </row>
    <row r="114" spans="1:6" ht="15.75">
      <c r="A114" s="14">
        <v>44443</v>
      </c>
      <c r="B114" s="13" t="s">
        <v>82</v>
      </c>
      <c r="C114" s="15"/>
      <c r="D114" s="42">
        <v>130</v>
      </c>
    </row>
    <row r="115" spans="1:6" ht="15.75">
      <c r="A115" s="14">
        <v>44451</v>
      </c>
      <c r="B115" s="13" t="s">
        <v>67</v>
      </c>
      <c r="C115" s="15"/>
      <c r="D115" s="42">
        <f>580+519+40</f>
        <v>1139</v>
      </c>
    </row>
    <row r="116" spans="1:6" ht="15.75">
      <c r="A116" s="14">
        <v>44455</v>
      </c>
      <c r="B116" s="50" t="s">
        <v>33</v>
      </c>
      <c r="C116" s="15">
        <v>1200</v>
      </c>
      <c r="D116" s="42"/>
    </row>
    <row r="117" spans="1:6" ht="18.75">
      <c r="A117" s="14"/>
      <c r="B117" s="43" t="s">
        <v>30</v>
      </c>
      <c r="C117" s="45">
        <f>SUM(C56:C116)</f>
        <v>14200</v>
      </c>
      <c r="D117" s="45">
        <f>SUM(D56:D116)</f>
        <v>14248</v>
      </c>
    </row>
    <row r="120" spans="1:6">
      <c r="A120" s="81" t="s">
        <v>31</v>
      </c>
      <c r="B120" s="81"/>
      <c r="C120" s="81"/>
      <c r="D120" s="81"/>
    </row>
    <row r="121" spans="1:6">
      <c r="A121" s="82"/>
      <c r="B121" s="82"/>
      <c r="C121" s="82"/>
      <c r="D121" s="82"/>
    </row>
    <row r="122" spans="1:6" ht="18.75">
      <c r="A122" s="8" t="s">
        <v>16</v>
      </c>
      <c r="B122" s="9" t="s">
        <v>1</v>
      </c>
      <c r="C122" s="9" t="s">
        <v>17</v>
      </c>
      <c r="D122" s="9" t="s">
        <v>19</v>
      </c>
    </row>
    <row r="123" spans="1:6" ht="15.75">
      <c r="A123" s="10">
        <v>44455</v>
      </c>
      <c r="B123" s="50" t="s">
        <v>33</v>
      </c>
      <c r="C123" s="15">
        <v>2000</v>
      </c>
      <c r="D123" s="12"/>
    </row>
    <row r="124" spans="1:6">
      <c r="A124" s="53"/>
      <c r="B124" s="54" t="s">
        <v>83</v>
      </c>
      <c r="C124" s="55"/>
      <c r="D124" s="55">
        <v>414</v>
      </c>
    </row>
    <row r="125" spans="1:6">
      <c r="A125" s="53">
        <v>44458</v>
      </c>
      <c r="B125" s="54" t="s">
        <v>84</v>
      </c>
      <c r="C125" s="55"/>
      <c r="D125" s="55">
        <v>360</v>
      </c>
    </row>
    <row r="126" spans="1:6" ht="15.75">
      <c r="A126" s="53">
        <v>44459</v>
      </c>
      <c r="B126" s="54" t="s">
        <v>85</v>
      </c>
      <c r="C126" s="15"/>
      <c r="D126" s="55">
        <v>120</v>
      </c>
    </row>
    <row r="127" spans="1:6" ht="15.75">
      <c r="A127" s="53"/>
      <c r="B127" s="54" t="s">
        <v>32</v>
      </c>
      <c r="C127" s="15"/>
      <c r="D127" s="55">
        <v>100</v>
      </c>
      <c r="F127" s="6" t="s">
        <v>71</v>
      </c>
    </row>
    <row r="128" spans="1:6" ht="15.75">
      <c r="A128" s="10">
        <v>44460</v>
      </c>
      <c r="B128" s="50" t="s">
        <v>33</v>
      </c>
      <c r="C128" s="15">
        <v>2000</v>
      </c>
      <c r="D128" s="55"/>
      <c r="F128" s="6" t="s">
        <v>70</v>
      </c>
    </row>
    <row r="129" spans="1:4" ht="15.75">
      <c r="A129" s="53"/>
      <c r="B129" s="54" t="s">
        <v>89</v>
      </c>
      <c r="C129" s="15"/>
      <c r="D129" s="55">
        <f>619+110+300</f>
        <v>1029</v>
      </c>
    </row>
    <row r="130" spans="1:4" ht="15.75">
      <c r="A130" s="53">
        <v>44462</v>
      </c>
      <c r="B130" s="54" t="s">
        <v>86</v>
      </c>
      <c r="C130" s="15"/>
      <c r="D130" s="55">
        <v>459</v>
      </c>
    </row>
    <row r="131" spans="1:4" ht="15.75">
      <c r="A131" s="53">
        <v>44469</v>
      </c>
      <c r="B131" s="54" t="s">
        <v>4</v>
      </c>
      <c r="C131" s="15"/>
      <c r="D131" s="55">
        <v>50</v>
      </c>
    </row>
    <row r="132" spans="1:4" ht="15.75">
      <c r="A132" s="53"/>
      <c r="B132" s="54" t="s">
        <v>80</v>
      </c>
      <c r="C132" s="15"/>
      <c r="D132" s="55">
        <v>120</v>
      </c>
    </row>
    <row r="133" spans="1:4" ht="15.75">
      <c r="A133" s="53">
        <v>44470</v>
      </c>
      <c r="B133" s="54" t="s">
        <v>90</v>
      </c>
      <c r="C133" s="15"/>
      <c r="D133" s="55">
        <v>625</v>
      </c>
    </row>
    <row r="134" spans="1:4" ht="15.75">
      <c r="A134" s="10">
        <v>44501</v>
      </c>
      <c r="B134" s="50" t="s">
        <v>33</v>
      </c>
      <c r="C134" s="15">
        <v>2000</v>
      </c>
      <c r="D134" s="55"/>
    </row>
    <row r="135" spans="1:4" ht="15.75">
      <c r="A135" s="53">
        <v>44502</v>
      </c>
      <c r="B135" s="54" t="s">
        <v>91</v>
      </c>
      <c r="C135" s="15"/>
      <c r="D135" s="55">
        <v>1200</v>
      </c>
    </row>
    <row r="136" spans="1:4" ht="15.75">
      <c r="A136" s="53"/>
      <c r="B136" s="54" t="s">
        <v>23</v>
      </c>
      <c r="C136" s="15"/>
      <c r="D136" s="55">
        <v>698</v>
      </c>
    </row>
    <row r="137" spans="1:4" ht="15.75">
      <c r="A137" s="53">
        <v>44503</v>
      </c>
      <c r="B137" s="54" t="s">
        <v>24</v>
      </c>
      <c r="C137" s="15"/>
      <c r="D137" s="55">
        <v>120</v>
      </c>
    </row>
    <row r="138" spans="1:4" ht="15.75">
      <c r="A138" s="53"/>
      <c r="B138" s="54" t="s">
        <v>7</v>
      </c>
      <c r="C138" s="15"/>
      <c r="D138" s="55">
        <v>120</v>
      </c>
    </row>
    <row r="139" spans="1:4" ht="15.75">
      <c r="A139" s="53">
        <v>44504</v>
      </c>
      <c r="B139" s="54" t="s">
        <v>4</v>
      </c>
      <c r="C139" s="15"/>
      <c r="D139" s="55">
        <v>40</v>
      </c>
    </row>
    <row r="140" spans="1:4" ht="15.75">
      <c r="A140" s="53">
        <v>44505</v>
      </c>
      <c r="B140" s="54" t="s">
        <v>24</v>
      </c>
      <c r="C140" s="15"/>
      <c r="D140" s="55">
        <v>120</v>
      </c>
    </row>
    <row r="141" spans="1:4" ht="15.75">
      <c r="A141" s="53"/>
      <c r="B141" s="54" t="s">
        <v>7</v>
      </c>
      <c r="C141" s="15"/>
      <c r="D141" s="55">
        <v>110</v>
      </c>
    </row>
    <row r="142" spans="1:4" ht="15.75">
      <c r="A142" s="53">
        <v>44506</v>
      </c>
      <c r="B142" s="54" t="s">
        <v>4</v>
      </c>
      <c r="C142" s="15"/>
      <c r="D142" s="55">
        <v>40</v>
      </c>
    </row>
    <row r="143" spans="1:4" ht="15.75">
      <c r="A143" s="53"/>
      <c r="B143" s="54" t="s">
        <v>3</v>
      </c>
      <c r="C143" s="15"/>
      <c r="D143" s="55">
        <v>70</v>
      </c>
    </row>
    <row r="144" spans="1:4" ht="15.75">
      <c r="A144" s="53">
        <v>44507</v>
      </c>
      <c r="B144" s="54" t="s">
        <v>3</v>
      </c>
      <c r="C144" s="15"/>
      <c r="D144" s="55">
        <v>80</v>
      </c>
    </row>
    <row r="145" spans="1:4" ht="15.75">
      <c r="A145" s="53">
        <v>44508</v>
      </c>
      <c r="B145" s="54" t="s">
        <v>4</v>
      </c>
      <c r="C145" s="15"/>
      <c r="D145" s="55">
        <v>40</v>
      </c>
    </row>
    <row r="146" spans="1:4" ht="15.75">
      <c r="A146" s="53"/>
      <c r="B146" s="54" t="s">
        <v>24</v>
      </c>
      <c r="C146" s="15"/>
      <c r="D146" s="55">
        <v>120</v>
      </c>
    </row>
    <row r="147" spans="1:4" ht="15.75">
      <c r="A147" s="53"/>
      <c r="B147" s="54" t="s">
        <v>50</v>
      </c>
      <c r="C147" s="15"/>
      <c r="D147" s="55">
        <v>265</v>
      </c>
    </row>
    <row r="148" spans="1:4" ht="15.75">
      <c r="A148" s="53"/>
      <c r="B148" s="54" t="s">
        <v>7</v>
      </c>
      <c r="C148" s="15"/>
      <c r="D148" s="55">
        <v>120</v>
      </c>
    </row>
    <row r="149" spans="1:4" ht="15.75">
      <c r="A149" s="53">
        <v>44509</v>
      </c>
      <c r="B149" s="54" t="s">
        <v>24</v>
      </c>
      <c r="C149" s="15"/>
      <c r="D149" s="55">
        <v>120</v>
      </c>
    </row>
    <row r="150" spans="1:4" ht="15.75">
      <c r="A150" s="53"/>
      <c r="B150" s="54" t="s">
        <v>7</v>
      </c>
      <c r="C150" s="15"/>
      <c r="D150" s="55">
        <v>120</v>
      </c>
    </row>
    <row r="151" spans="1:4" ht="15.75">
      <c r="A151" s="53"/>
      <c r="B151" s="50" t="s">
        <v>33</v>
      </c>
      <c r="C151" s="15">
        <v>3000</v>
      </c>
      <c r="D151" s="55"/>
    </row>
    <row r="152" spans="1:4" ht="15.75">
      <c r="A152" s="53">
        <v>44510</v>
      </c>
      <c r="B152" s="54" t="s">
        <v>4</v>
      </c>
      <c r="C152" s="15"/>
      <c r="D152" s="55">
        <v>40</v>
      </c>
    </row>
    <row r="153" spans="1:4" ht="15.75">
      <c r="A153" s="53"/>
      <c r="B153" s="54" t="s">
        <v>24</v>
      </c>
      <c r="C153" s="15"/>
      <c r="D153" s="55">
        <v>120</v>
      </c>
    </row>
    <row r="154" spans="1:4" ht="15.75">
      <c r="A154" s="53"/>
      <c r="B154" s="54" t="s">
        <v>7</v>
      </c>
      <c r="C154" s="15"/>
      <c r="D154" s="55">
        <v>120</v>
      </c>
    </row>
    <row r="155" spans="1:4" ht="15.75">
      <c r="A155" s="53">
        <v>44511</v>
      </c>
      <c r="B155" s="54" t="s">
        <v>24</v>
      </c>
      <c r="C155" s="15"/>
      <c r="D155" s="55">
        <v>120</v>
      </c>
    </row>
    <row r="156" spans="1:4" ht="15.75">
      <c r="A156" s="53"/>
      <c r="B156" s="54" t="s">
        <v>7</v>
      </c>
      <c r="C156" s="15"/>
      <c r="D156" s="55">
        <v>120</v>
      </c>
    </row>
    <row r="157" spans="1:4" ht="15.75">
      <c r="A157" s="53"/>
      <c r="B157" s="54" t="s">
        <v>3</v>
      </c>
      <c r="C157" s="15"/>
      <c r="D157" s="55">
        <v>60</v>
      </c>
    </row>
    <row r="158" spans="1:4" ht="15.75">
      <c r="A158" s="53"/>
      <c r="B158" s="54" t="s">
        <v>92</v>
      </c>
      <c r="C158" s="15"/>
      <c r="D158" s="55">
        <f>9*300</f>
        <v>2700</v>
      </c>
    </row>
    <row r="159" spans="1:4" ht="15.75">
      <c r="A159" s="53">
        <v>44516</v>
      </c>
      <c r="B159" s="54" t="s">
        <v>93</v>
      </c>
      <c r="C159" s="15"/>
      <c r="D159" s="55">
        <f>600+600</f>
        <v>1200</v>
      </c>
    </row>
    <row r="160" spans="1:4" ht="15.75">
      <c r="A160" s="53">
        <v>44517</v>
      </c>
      <c r="B160" s="54" t="s">
        <v>94</v>
      </c>
      <c r="C160" s="15"/>
      <c r="D160" s="55">
        <v>500</v>
      </c>
    </row>
    <row r="161" spans="1:4" ht="15.75">
      <c r="A161" s="53">
        <v>44523</v>
      </c>
      <c r="B161" s="54" t="s">
        <v>95</v>
      </c>
      <c r="C161" s="15"/>
      <c r="D161" s="55">
        <v>500</v>
      </c>
    </row>
    <row r="162" spans="1:4" ht="15.75">
      <c r="A162" s="40">
        <v>44548</v>
      </c>
      <c r="B162" s="50" t="s">
        <v>33</v>
      </c>
      <c r="C162" s="15">
        <v>5000</v>
      </c>
      <c r="D162" s="55"/>
    </row>
    <row r="163" spans="1:4">
      <c r="A163" s="14">
        <v>44577</v>
      </c>
      <c r="B163" s="13" t="s">
        <v>116</v>
      </c>
      <c r="C163" s="12"/>
      <c r="D163" s="55">
        <f>325+40+20+20+800</f>
        <v>1205</v>
      </c>
    </row>
    <row r="164" spans="1:4" ht="15.75">
      <c r="A164" s="40">
        <v>44595</v>
      </c>
      <c r="B164" s="50" t="s">
        <v>117</v>
      </c>
      <c r="C164" s="15">
        <v>2000</v>
      </c>
      <c r="D164" s="55"/>
    </row>
    <row r="165" spans="1:4" ht="15.75">
      <c r="A165" s="53">
        <v>44600</v>
      </c>
      <c r="B165" s="13" t="s">
        <v>118</v>
      </c>
      <c r="C165" s="15"/>
      <c r="D165" s="12">
        <f>800+40+40+325</f>
        <v>1205</v>
      </c>
    </row>
    <row r="166" spans="1:4" ht="15.75">
      <c r="A166" s="53"/>
      <c r="B166" s="13" t="s">
        <v>4</v>
      </c>
      <c r="C166" s="15"/>
      <c r="D166" s="12">
        <v>40</v>
      </c>
    </row>
    <row r="167" spans="1:4" ht="15.75">
      <c r="A167" s="53"/>
      <c r="B167" s="54" t="s">
        <v>7</v>
      </c>
      <c r="C167" s="15"/>
      <c r="D167" s="55">
        <v>130</v>
      </c>
    </row>
    <row r="168" spans="1:4">
      <c r="A168" s="14">
        <v>44612</v>
      </c>
      <c r="B168" s="13" t="s">
        <v>116</v>
      </c>
      <c r="C168" s="12"/>
      <c r="D168" s="55">
        <f>325+40+20+20+800</f>
        <v>1205</v>
      </c>
    </row>
    <row r="169" spans="1:4" ht="15.75">
      <c r="A169" s="40">
        <v>44622</v>
      </c>
      <c r="B169" s="50" t="s">
        <v>117</v>
      </c>
      <c r="C169" s="15">
        <v>3000</v>
      </c>
      <c r="D169" s="55"/>
    </row>
    <row r="170" spans="1:4">
      <c r="A170" s="14">
        <v>44622</v>
      </c>
      <c r="B170" s="13" t="s">
        <v>120</v>
      </c>
      <c r="C170" s="12"/>
      <c r="D170" s="55">
        <v>800</v>
      </c>
    </row>
    <row r="171" spans="1:4">
      <c r="A171" s="14">
        <v>44623</v>
      </c>
      <c r="B171" s="13" t="s">
        <v>4</v>
      </c>
      <c r="C171" s="12"/>
      <c r="D171" s="55">
        <v>50</v>
      </c>
    </row>
    <row r="172" spans="1:4">
      <c r="A172" s="14"/>
      <c r="B172" s="13" t="s">
        <v>24</v>
      </c>
      <c r="C172" s="12"/>
      <c r="D172" s="55">
        <v>100</v>
      </c>
    </row>
    <row r="173" spans="1:4">
      <c r="A173" s="14"/>
      <c r="B173" s="13" t="s">
        <v>7</v>
      </c>
      <c r="C173" s="12"/>
      <c r="D173" s="55">
        <v>120</v>
      </c>
    </row>
    <row r="174" spans="1:4">
      <c r="A174" s="14">
        <v>44624</v>
      </c>
      <c r="B174" s="13" t="s">
        <v>24</v>
      </c>
      <c r="C174" s="12"/>
      <c r="D174" s="55">
        <v>100</v>
      </c>
    </row>
    <row r="175" spans="1:4">
      <c r="A175" s="14"/>
      <c r="B175" s="13" t="s">
        <v>7</v>
      </c>
      <c r="C175" s="12"/>
      <c r="D175" s="55">
        <v>120</v>
      </c>
    </row>
    <row r="176" spans="1:4">
      <c r="A176" s="14"/>
      <c r="B176" s="13" t="s">
        <v>3</v>
      </c>
      <c r="C176" s="12"/>
      <c r="D176" s="55">
        <v>50</v>
      </c>
    </row>
    <row r="177" spans="1:4">
      <c r="A177" s="14">
        <v>44625</v>
      </c>
      <c r="B177" s="13" t="s">
        <v>85</v>
      </c>
      <c r="C177" s="12"/>
      <c r="D177" s="55">
        <v>80</v>
      </c>
    </row>
    <row r="178" spans="1:4">
      <c r="A178" s="14"/>
      <c r="B178" s="13" t="s">
        <v>3</v>
      </c>
      <c r="C178" s="12"/>
      <c r="D178" s="55">
        <v>60</v>
      </c>
    </row>
    <row r="179" spans="1:4">
      <c r="A179" s="14">
        <v>44626</v>
      </c>
      <c r="B179" s="13" t="s">
        <v>7</v>
      </c>
      <c r="C179" s="12"/>
      <c r="D179" s="55">
        <v>120</v>
      </c>
    </row>
    <row r="180" spans="1:4">
      <c r="A180" s="14">
        <v>44627</v>
      </c>
      <c r="B180" s="13" t="s">
        <v>4</v>
      </c>
      <c r="C180" s="12"/>
      <c r="D180" s="55">
        <v>50</v>
      </c>
    </row>
    <row r="181" spans="1:4">
      <c r="A181" s="14"/>
      <c r="B181" s="13" t="s">
        <v>24</v>
      </c>
      <c r="C181" s="12"/>
      <c r="D181" s="55">
        <v>100</v>
      </c>
    </row>
    <row r="182" spans="1:4">
      <c r="A182" s="14"/>
      <c r="B182" s="13" t="s">
        <v>7</v>
      </c>
      <c r="C182" s="12"/>
      <c r="D182" s="55">
        <v>120</v>
      </c>
    </row>
    <row r="183" spans="1:4">
      <c r="A183" s="14">
        <v>44628</v>
      </c>
      <c r="B183" s="13" t="s">
        <v>3</v>
      </c>
      <c r="C183" s="12"/>
      <c r="D183" s="55">
        <v>70</v>
      </c>
    </row>
    <row r="184" spans="1:4">
      <c r="A184" s="14">
        <v>44629</v>
      </c>
      <c r="B184" s="13" t="s">
        <v>4</v>
      </c>
      <c r="C184" s="12"/>
      <c r="D184" s="55">
        <v>50</v>
      </c>
    </row>
    <row r="185" spans="1:4">
      <c r="A185" s="14"/>
      <c r="B185" s="13" t="s">
        <v>85</v>
      </c>
      <c r="C185" s="12"/>
      <c r="D185" s="55">
        <v>60</v>
      </c>
    </row>
    <row r="186" spans="1:4">
      <c r="A186" s="14"/>
      <c r="B186" s="13" t="s">
        <v>24</v>
      </c>
      <c r="C186" s="12"/>
      <c r="D186" s="55">
        <v>100</v>
      </c>
    </row>
    <row r="187" spans="1:4">
      <c r="A187" s="14"/>
      <c r="B187" s="13" t="s">
        <v>7</v>
      </c>
      <c r="C187" s="12"/>
      <c r="D187" s="55">
        <v>120</v>
      </c>
    </row>
    <row r="188" spans="1:4">
      <c r="A188" s="14">
        <v>44630</v>
      </c>
      <c r="B188" s="13" t="s">
        <v>4</v>
      </c>
      <c r="C188" s="12"/>
      <c r="D188" s="55">
        <v>50</v>
      </c>
    </row>
    <row r="189" spans="1:4">
      <c r="A189" s="14">
        <v>44631</v>
      </c>
      <c r="B189" s="13" t="s">
        <v>3</v>
      </c>
      <c r="C189" s="12"/>
      <c r="D189" s="55">
        <v>70</v>
      </c>
    </row>
    <row r="190" spans="1:4">
      <c r="A190" s="14">
        <v>44632</v>
      </c>
      <c r="B190" s="13" t="s">
        <v>4</v>
      </c>
      <c r="C190" s="12"/>
      <c r="D190" s="55">
        <v>40</v>
      </c>
    </row>
    <row r="191" spans="1:4">
      <c r="A191" s="14"/>
      <c r="B191" s="13" t="s">
        <v>24</v>
      </c>
      <c r="C191" s="12"/>
      <c r="D191" s="55">
        <v>100</v>
      </c>
    </row>
    <row r="192" spans="1:4">
      <c r="A192" s="14"/>
      <c r="B192" s="13" t="s">
        <v>7</v>
      </c>
      <c r="C192" s="12"/>
      <c r="D192" s="55">
        <v>120</v>
      </c>
    </row>
    <row r="193" spans="1:5">
      <c r="A193" s="14"/>
      <c r="B193" s="13" t="s">
        <v>123</v>
      </c>
      <c r="C193" s="12"/>
      <c r="D193" s="55">
        <v>320</v>
      </c>
    </row>
    <row r="194" spans="1:5">
      <c r="A194" s="14"/>
      <c r="B194" s="13" t="s">
        <v>122</v>
      </c>
      <c r="C194" s="12"/>
      <c r="D194" s="55">
        <f>10*300</f>
        <v>3000</v>
      </c>
    </row>
    <row r="195" spans="1:5">
      <c r="A195" s="14">
        <v>44636</v>
      </c>
      <c r="B195" s="13" t="s">
        <v>124</v>
      </c>
      <c r="C195" s="12"/>
      <c r="D195" s="55">
        <v>360</v>
      </c>
    </row>
    <row r="196" spans="1:5">
      <c r="A196" s="14"/>
      <c r="B196" s="13" t="s">
        <v>3</v>
      </c>
      <c r="C196" s="12"/>
      <c r="D196" s="55">
        <v>70</v>
      </c>
    </row>
    <row r="197" spans="1:5" ht="15.75">
      <c r="A197" s="40">
        <v>44637</v>
      </c>
      <c r="B197" s="50" t="s">
        <v>117</v>
      </c>
      <c r="C197" s="15">
        <v>4000</v>
      </c>
      <c r="D197" s="55"/>
    </row>
    <row r="198" spans="1:5">
      <c r="A198" s="14">
        <v>44637</v>
      </c>
      <c r="B198" s="13" t="s">
        <v>126</v>
      </c>
      <c r="C198" s="12"/>
      <c r="D198" s="55">
        <f>330+80</f>
        <v>410</v>
      </c>
    </row>
    <row r="199" spans="1:5">
      <c r="A199" s="14"/>
      <c r="B199" s="13" t="s">
        <v>125</v>
      </c>
      <c r="C199" s="12"/>
      <c r="D199" s="55">
        <v>300</v>
      </c>
    </row>
    <row r="200" spans="1:5">
      <c r="A200" s="14"/>
      <c r="B200" s="13" t="s">
        <v>3</v>
      </c>
      <c r="C200" s="12"/>
      <c r="D200" s="55">
        <v>80</v>
      </c>
    </row>
    <row r="201" spans="1:5">
      <c r="A201" s="14">
        <v>44642</v>
      </c>
      <c r="B201" s="13" t="s">
        <v>3</v>
      </c>
      <c r="C201" s="12"/>
      <c r="D201" s="55">
        <v>120</v>
      </c>
    </row>
    <row r="202" spans="1:5">
      <c r="A202" s="14"/>
      <c r="B202" s="13" t="s">
        <v>116</v>
      </c>
      <c r="C202" s="12"/>
      <c r="D202" s="55">
        <f t="shared" ref="D202" si="0">325+40+20+20+800</f>
        <v>1205</v>
      </c>
    </row>
    <row r="203" spans="1:5">
      <c r="A203" s="14">
        <v>44664</v>
      </c>
      <c r="B203" s="13" t="s">
        <v>105</v>
      </c>
      <c r="C203" s="12"/>
      <c r="D203" s="55">
        <f>325+40+20+20+800+250</f>
        <v>1455</v>
      </c>
    </row>
    <row r="204" spans="1:5">
      <c r="A204" s="14"/>
      <c r="B204" s="13" t="s">
        <v>3</v>
      </c>
      <c r="C204" s="12"/>
      <c r="D204" s="55">
        <v>80</v>
      </c>
    </row>
    <row r="205" spans="1:5">
      <c r="A205" s="14"/>
      <c r="B205" s="13" t="s">
        <v>23</v>
      </c>
      <c r="C205" s="12"/>
      <c r="D205" s="55">
        <v>418</v>
      </c>
    </row>
    <row r="206" spans="1:5" ht="18.75">
      <c r="A206" s="14"/>
      <c r="B206" s="43" t="s">
        <v>30</v>
      </c>
      <c r="C206" s="45">
        <f>SUM(C123:C205)</f>
        <v>23000</v>
      </c>
      <c r="D206" s="45">
        <f>SUM(D123:D205)</f>
        <v>26393</v>
      </c>
    </row>
    <row r="207" spans="1:5">
      <c r="D207" s="92">
        <f>+C206-D206</f>
        <v>-3393</v>
      </c>
      <c r="E207" s="93" t="s">
        <v>138</v>
      </c>
    </row>
    <row r="210" spans="1:4">
      <c r="A210" s="83" t="s">
        <v>31</v>
      </c>
      <c r="B210" s="83"/>
      <c r="C210" s="83"/>
      <c r="D210" s="83"/>
    </row>
    <row r="211" spans="1:4">
      <c r="A211" s="84"/>
      <c r="B211" s="84"/>
      <c r="C211" s="84"/>
      <c r="D211" s="84"/>
    </row>
    <row r="212" spans="1:4" ht="18.75">
      <c r="A212" s="3" t="s">
        <v>16</v>
      </c>
      <c r="B212" s="4" t="s">
        <v>1</v>
      </c>
      <c r="C212" s="4" t="s">
        <v>17</v>
      </c>
      <c r="D212" s="4" t="s">
        <v>19</v>
      </c>
    </row>
    <row r="213" spans="1:4">
      <c r="A213" s="49">
        <v>44694</v>
      </c>
      <c r="B213" s="65" t="s">
        <v>3</v>
      </c>
      <c r="C213" s="5"/>
      <c r="D213" s="5">
        <v>160</v>
      </c>
    </row>
    <row r="214" spans="1:4" ht="15.75">
      <c r="A214" s="34"/>
      <c r="B214" s="65" t="s">
        <v>85</v>
      </c>
      <c r="C214" s="5"/>
      <c r="D214" s="5">
        <v>90</v>
      </c>
    </row>
    <row r="215" spans="1:4" ht="15.75">
      <c r="A215" s="34">
        <v>44696</v>
      </c>
      <c r="B215" s="35" t="s">
        <v>33</v>
      </c>
      <c r="C215" s="2">
        <v>2000</v>
      </c>
      <c r="D215" s="5"/>
    </row>
    <row r="216" spans="1:4">
      <c r="A216" s="49"/>
      <c r="B216" s="48" t="s">
        <v>132</v>
      </c>
      <c r="C216" s="47"/>
      <c r="D216" s="47">
        <f>90+250+350</f>
        <v>690</v>
      </c>
    </row>
    <row r="217" spans="1:4">
      <c r="A217" s="49"/>
      <c r="B217" s="48" t="s">
        <v>3</v>
      </c>
      <c r="C217" s="47"/>
      <c r="D217" s="47">
        <v>130</v>
      </c>
    </row>
    <row r="218" spans="1:4" ht="15.75">
      <c r="A218" s="49">
        <v>44701</v>
      </c>
      <c r="B218" s="48" t="s">
        <v>133</v>
      </c>
      <c r="C218" s="2"/>
      <c r="D218" s="47">
        <v>590</v>
      </c>
    </row>
    <row r="219" spans="1:4">
      <c r="A219" s="63">
        <v>44706</v>
      </c>
      <c r="B219" s="65" t="s">
        <v>3</v>
      </c>
      <c r="C219" s="5"/>
      <c r="D219" s="5">
        <v>150</v>
      </c>
    </row>
    <row r="220" spans="1:4">
      <c r="A220" s="63"/>
      <c r="B220" s="65" t="s">
        <v>85</v>
      </c>
      <c r="C220" s="5"/>
      <c r="D220" s="5">
        <v>60</v>
      </c>
    </row>
    <row r="221" spans="1:4" ht="15.75">
      <c r="A221" s="49">
        <v>44708</v>
      </c>
      <c r="B221" s="48" t="s">
        <v>3</v>
      </c>
      <c r="C221" s="2"/>
      <c r="D221" s="47">
        <v>120</v>
      </c>
    </row>
    <row r="222" spans="1:4" ht="15.75">
      <c r="A222" s="34">
        <v>44771</v>
      </c>
      <c r="B222" s="35" t="s">
        <v>33</v>
      </c>
      <c r="C222" s="2">
        <v>2000</v>
      </c>
      <c r="D222" s="5"/>
    </row>
    <row r="223" spans="1:4" ht="15.75">
      <c r="A223" s="34"/>
      <c r="B223" s="48" t="s">
        <v>105</v>
      </c>
      <c r="C223" s="2"/>
      <c r="D223" s="5">
        <f>900+150+100+370</f>
        <v>1520</v>
      </c>
    </row>
    <row r="224" spans="1:4">
      <c r="A224" s="49">
        <v>44772</v>
      </c>
      <c r="B224" s="90" t="s">
        <v>4</v>
      </c>
      <c r="C224" s="49"/>
      <c r="D224" s="5">
        <v>40</v>
      </c>
    </row>
    <row r="225" spans="1:4">
      <c r="A225" s="49"/>
      <c r="B225" s="90"/>
      <c r="C225" s="49"/>
      <c r="D225" s="5"/>
    </row>
    <row r="226" spans="1:4">
      <c r="A226" s="49"/>
      <c r="B226" s="90"/>
      <c r="C226" s="49"/>
      <c r="D226" s="5"/>
    </row>
    <row r="227" spans="1:4">
      <c r="A227" s="91"/>
      <c r="B227" s="90"/>
      <c r="C227" s="49"/>
      <c r="D227" s="5"/>
    </row>
    <row r="228" spans="1:4">
      <c r="A228" s="49"/>
      <c r="B228" s="90"/>
      <c r="C228" s="49"/>
      <c r="D228" s="5"/>
    </row>
    <row r="229" spans="1:4">
      <c r="A229" s="49"/>
      <c r="B229" s="90"/>
      <c r="C229" s="49"/>
      <c r="D229" s="5"/>
    </row>
    <row r="230" spans="1:4" ht="18.75">
      <c r="A230" s="34"/>
      <c r="B230" s="77" t="s">
        <v>30</v>
      </c>
      <c r="C230" s="78">
        <f>SUM(C213:C229)</f>
        <v>4000</v>
      </c>
      <c r="D230" s="78">
        <f>SUM(D213:D229)</f>
        <v>3550</v>
      </c>
    </row>
    <row r="231" spans="1:4">
      <c r="D231" s="6">
        <f>+C230-D230</f>
        <v>450</v>
      </c>
    </row>
  </sheetData>
  <mergeCells count="4">
    <mergeCell ref="A1:D1"/>
    <mergeCell ref="A53:D54"/>
    <mergeCell ref="A120:D121"/>
    <mergeCell ref="A210:D211"/>
  </mergeCells>
  <printOptions horizontalCentered="1"/>
  <pageMargins left="0.31496062992125984" right="0.31496062992125984" top="0.59055118110236227" bottom="0.39370078740157483" header="0.31496062992125984" footer="0.31496062992125984"/>
  <pageSetup paperSize="9" scale="135"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N163"/>
  <sheetViews>
    <sheetView topLeftCell="A144" workbookViewId="0">
      <selection activeCell="D158" sqref="D158"/>
    </sheetView>
  </sheetViews>
  <sheetFormatPr defaultRowHeight="15"/>
  <cols>
    <col min="1" max="1" width="11.28515625" style="6" customWidth="1"/>
    <col min="2" max="2" width="30.140625" style="6" customWidth="1"/>
    <col min="3" max="4" width="10.7109375" style="6" customWidth="1"/>
    <col min="5" max="5" width="9.140625" style="6"/>
    <col min="6" max="6" width="11.28515625" style="6" hidden="1" customWidth="1"/>
    <col min="7" max="7" width="30.140625" style="6" hidden="1" customWidth="1"/>
    <col min="8" max="9" width="10.7109375" style="6" hidden="1" customWidth="1"/>
    <col min="10" max="16384" width="9.140625" style="6"/>
  </cols>
  <sheetData>
    <row r="1" spans="1:9" ht="21">
      <c r="A1" s="81" t="s">
        <v>18</v>
      </c>
      <c r="B1" s="81"/>
      <c r="C1" s="81"/>
      <c r="D1" s="81"/>
      <c r="F1" s="85" t="s">
        <v>18</v>
      </c>
      <c r="G1" s="85"/>
      <c r="H1" s="85"/>
      <c r="I1" s="85"/>
    </row>
    <row r="2" spans="1:9" ht="10.5" customHeight="1">
      <c r="A2" s="7"/>
      <c r="B2" s="7"/>
      <c r="C2" s="7"/>
      <c r="D2" s="7"/>
      <c r="F2" s="16"/>
      <c r="G2" s="16"/>
      <c r="H2" s="16"/>
      <c r="I2" s="16"/>
    </row>
    <row r="3" spans="1:9" ht="18.75">
      <c r="A3" s="8" t="s">
        <v>16</v>
      </c>
      <c r="B3" s="9" t="s">
        <v>1</v>
      </c>
      <c r="C3" s="9" t="s">
        <v>17</v>
      </c>
      <c r="D3" s="9" t="s">
        <v>19</v>
      </c>
      <c r="F3" s="17" t="s">
        <v>16</v>
      </c>
      <c r="G3" s="18" t="s">
        <v>1</v>
      </c>
      <c r="H3" s="18" t="s">
        <v>17</v>
      </c>
      <c r="I3" s="18" t="s">
        <v>19</v>
      </c>
    </row>
    <row r="4" spans="1:9" ht="15.75">
      <c r="A4" s="14">
        <v>44296</v>
      </c>
      <c r="B4" s="50" t="s">
        <v>20</v>
      </c>
      <c r="C4" s="11">
        <v>8000</v>
      </c>
      <c r="D4" s="12"/>
      <c r="F4" s="19">
        <v>44314</v>
      </c>
      <c r="G4" s="20"/>
      <c r="H4" s="25">
        <v>8000</v>
      </c>
      <c r="I4" s="26">
        <v>10842</v>
      </c>
    </row>
    <row r="5" spans="1:9">
      <c r="A5" s="12"/>
      <c r="B5" s="13" t="s">
        <v>21</v>
      </c>
      <c r="C5" s="12"/>
      <c r="D5" s="12">
        <v>3100</v>
      </c>
      <c r="F5" s="23">
        <v>44315</v>
      </c>
      <c r="G5" s="22" t="s">
        <v>4</v>
      </c>
      <c r="H5" s="21"/>
      <c r="I5" s="21">
        <v>40</v>
      </c>
    </row>
    <row r="6" spans="1:9" ht="15.75">
      <c r="A6" s="12"/>
      <c r="B6" s="13" t="s">
        <v>22</v>
      </c>
      <c r="C6" s="12"/>
      <c r="D6" s="12">
        <v>800</v>
      </c>
      <c r="F6" s="23"/>
      <c r="G6" s="20" t="s">
        <v>20</v>
      </c>
      <c r="H6" s="25">
        <v>5000</v>
      </c>
      <c r="I6" s="21">
        <v>40</v>
      </c>
    </row>
    <row r="7" spans="1:9" ht="15.75">
      <c r="A7" s="14">
        <v>44301</v>
      </c>
      <c r="B7" s="13" t="s">
        <v>21</v>
      </c>
      <c r="C7" s="12"/>
      <c r="D7" s="12">
        <f>2000+1000</f>
        <v>3000</v>
      </c>
      <c r="F7" s="23"/>
      <c r="G7" s="22" t="s">
        <v>7</v>
      </c>
      <c r="H7" s="25"/>
      <c r="I7" s="21">
        <v>120</v>
      </c>
    </row>
    <row r="8" spans="1:9" ht="15.75">
      <c r="A8" s="12"/>
      <c r="B8" s="13" t="s">
        <v>22</v>
      </c>
      <c r="C8" s="12"/>
      <c r="D8" s="12">
        <v>650</v>
      </c>
      <c r="F8" s="23"/>
      <c r="G8" s="22" t="s">
        <v>50</v>
      </c>
      <c r="H8" s="25"/>
      <c r="I8" s="21">
        <v>140</v>
      </c>
    </row>
    <row r="9" spans="1:9">
      <c r="A9" s="12"/>
      <c r="B9" s="13" t="s">
        <v>23</v>
      </c>
      <c r="C9" s="12"/>
      <c r="D9" s="12">
        <v>278</v>
      </c>
      <c r="F9" s="21"/>
      <c r="G9" s="22" t="s">
        <v>57</v>
      </c>
      <c r="H9" s="21"/>
      <c r="I9" s="21">
        <v>80</v>
      </c>
    </row>
    <row r="10" spans="1:9">
      <c r="A10" s="14">
        <v>44302</v>
      </c>
      <c r="B10" s="13" t="s">
        <v>24</v>
      </c>
      <c r="C10" s="12"/>
      <c r="D10" s="12">
        <v>114</v>
      </c>
      <c r="F10" s="23">
        <v>44316</v>
      </c>
      <c r="G10" s="22" t="s">
        <v>4</v>
      </c>
      <c r="H10" s="21"/>
      <c r="I10" s="21">
        <v>40</v>
      </c>
    </row>
    <row r="11" spans="1:9">
      <c r="A11" s="12"/>
      <c r="B11" s="13" t="s">
        <v>3</v>
      </c>
      <c r="C11" s="12"/>
      <c r="D11" s="12">
        <v>80</v>
      </c>
      <c r="F11" s="21"/>
      <c r="G11" s="22" t="s">
        <v>57</v>
      </c>
      <c r="H11" s="21"/>
      <c r="I11" s="21">
        <v>100</v>
      </c>
    </row>
    <row r="12" spans="1:9">
      <c r="A12" s="14">
        <v>44303</v>
      </c>
      <c r="B12" s="13" t="s">
        <v>24</v>
      </c>
      <c r="C12" s="12"/>
      <c r="D12" s="12">
        <v>125</v>
      </c>
      <c r="F12" s="23">
        <v>44317</v>
      </c>
      <c r="G12" s="22" t="s">
        <v>4</v>
      </c>
      <c r="H12" s="21"/>
      <c r="I12" s="21">
        <v>40</v>
      </c>
    </row>
    <row r="13" spans="1:9">
      <c r="A13" s="12"/>
      <c r="B13" s="13" t="s">
        <v>3</v>
      </c>
      <c r="C13" s="12"/>
      <c r="D13" s="12">
        <v>80</v>
      </c>
      <c r="F13" s="23"/>
      <c r="G13" s="22" t="s">
        <v>57</v>
      </c>
      <c r="H13" s="21"/>
      <c r="I13" s="21">
        <v>90</v>
      </c>
    </row>
    <row r="14" spans="1:9">
      <c r="A14" s="12"/>
      <c r="B14" s="13" t="s">
        <v>25</v>
      </c>
      <c r="C14" s="12"/>
      <c r="D14" s="12">
        <v>600</v>
      </c>
      <c r="F14" s="23">
        <v>44318</v>
      </c>
      <c r="G14" s="22" t="s">
        <v>4</v>
      </c>
      <c r="H14" s="21"/>
      <c r="I14" s="21">
        <v>30</v>
      </c>
    </row>
    <row r="15" spans="1:9">
      <c r="A15" s="14">
        <v>44304</v>
      </c>
      <c r="B15" s="13" t="s">
        <v>26</v>
      </c>
      <c r="C15" s="12"/>
      <c r="D15" s="12">
        <v>40</v>
      </c>
      <c r="F15" s="23"/>
      <c r="G15" s="22" t="s">
        <v>7</v>
      </c>
      <c r="H15" s="21"/>
      <c r="I15" s="21">
        <v>200</v>
      </c>
    </row>
    <row r="16" spans="1:9">
      <c r="A16" s="12"/>
      <c r="B16" s="13" t="s">
        <v>10</v>
      </c>
      <c r="C16" s="12"/>
      <c r="D16" s="12">
        <v>120</v>
      </c>
      <c r="F16" s="21"/>
      <c r="G16" s="22" t="s">
        <v>57</v>
      </c>
      <c r="H16" s="21"/>
      <c r="I16" s="21"/>
    </row>
    <row r="17" spans="1:9">
      <c r="A17" s="12"/>
      <c r="B17" s="13" t="s">
        <v>27</v>
      </c>
      <c r="C17" s="12"/>
      <c r="D17" s="12">
        <f>45+50</f>
        <v>95</v>
      </c>
      <c r="F17" s="23">
        <v>44319</v>
      </c>
      <c r="G17" s="22" t="s">
        <v>4</v>
      </c>
      <c r="H17" s="21"/>
      <c r="I17" s="21">
        <v>40</v>
      </c>
    </row>
    <row r="18" spans="1:9">
      <c r="A18" s="12"/>
      <c r="B18" s="13" t="s">
        <v>3</v>
      </c>
      <c r="C18" s="12"/>
      <c r="D18" s="12">
        <v>150</v>
      </c>
      <c r="F18" s="23"/>
      <c r="G18" s="22" t="s">
        <v>7</v>
      </c>
      <c r="H18" s="21"/>
      <c r="I18" s="21">
        <v>150</v>
      </c>
    </row>
    <row r="19" spans="1:9">
      <c r="A19" s="14">
        <v>44305</v>
      </c>
      <c r="B19" s="13" t="s">
        <v>26</v>
      </c>
      <c r="C19" s="12"/>
      <c r="D19" s="12">
        <v>40</v>
      </c>
      <c r="F19" s="21"/>
      <c r="G19" s="22" t="s">
        <v>58</v>
      </c>
      <c r="H19" s="21"/>
      <c r="I19" s="21">
        <f>420+150</f>
        <v>570</v>
      </c>
    </row>
    <row r="20" spans="1:9">
      <c r="A20" s="12"/>
      <c r="B20" s="13" t="s">
        <v>3</v>
      </c>
      <c r="C20" s="12"/>
      <c r="D20" s="12">
        <v>100</v>
      </c>
      <c r="F20" s="21"/>
      <c r="G20" s="22" t="s">
        <v>57</v>
      </c>
      <c r="H20" s="21"/>
      <c r="I20" s="21">
        <v>180</v>
      </c>
    </row>
    <row r="21" spans="1:9">
      <c r="A21" s="12"/>
      <c r="B21" s="13" t="s">
        <v>28</v>
      </c>
      <c r="C21" s="12"/>
      <c r="D21" s="12">
        <v>150</v>
      </c>
      <c r="F21" s="23">
        <v>44320</v>
      </c>
      <c r="G21" s="22" t="s">
        <v>4</v>
      </c>
      <c r="H21" s="21"/>
      <c r="I21" s="21">
        <v>30</v>
      </c>
    </row>
    <row r="22" spans="1:9">
      <c r="A22" s="14">
        <v>44306</v>
      </c>
      <c r="B22" s="13" t="s">
        <v>26</v>
      </c>
      <c r="C22" s="12"/>
      <c r="D22" s="12">
        <v>40</v>
      </c>
      <c r="F22" s="21"/>
      <c r="G22" s="22" t="s">
        <v>7</v>
      </c>
      <c r="H22" s="21"/>
      <c r="I22" s="21">
        <v>190</v>
      </c>
    </row>
    <row r="23" spans="1:9">
      <c r="A23" s="12"/>
      <c r="B23" s="13" t="s">
        <v>3</v>
      </c>
      <c r="C23" s="12"/>
      <c r="D23" s="12">
        <v>80</v>
      </c>
      <c r="F23" s="21"/>
      <c r="G23" s="22" t="s">
        <v>57</v>
      </c>
      <c r="H23" s="21"/>
      <c r="I23" s="21">
        <v>90</v>
      </c>
    </row>
    <row r="24" spans="1:9">
      <c r="A24" s="14">
        <v>43942</v>
      </c>
      <c r="B24" s="13" t="s">
        <v>26</v>
      </c>
      <c r="C24" s="12"/>
      <c r="D24" s="12">
        <v>40</v>
      </c>
      <c r="F24" s="23">
        <v>44321</v>
      </c>
      <c r="G24" s="22" t="s">
        <v>4</v>
      </c>
      <c r="H24" s="21"/>
      <c r="I24" s="21">
        <v>40</v>
      </c>
    </row>
    <row r="25" spans="1:9">
      <c r="A25" s="12"/>
      <c r="B25" s="13" t="s">
        <v>3</v>
      </c>
      <c r="C25" s="12"/>
      <c r="D25" s="12">
        <v>60</v>
      </c>
      <c r="F25" s="21"/>
      <c r="G25" s="22" t="s">
        <v>7</v>
      </c>
      <c r="H25" s="21"/>
      <c r="I25" s="21">
        <v>80</v>
      </c>
    </row>
    <row r="26" spans="1:9">
      <c r="A26" s="14">
        <v>44308</v>
      </c>
      <c r="B26" s="13" t="s">
        <v>26</v>
      </c>
      <c r="C26" s="12"/>
      <c r="D26" s="12">
        <v>40</v>
      </c>
      <c r="F26" s="21"/>
      <c r="G26" s="22" t="s">
        <v>50</v>
      </c>
      <c r="H26" s="21"/>
      <c r="I26" s="21">
        <v>175</v>
      </c>
    </row>
    <row r="27" spans="1:9">
      <c r="A27" s="14">
        <v>44309</v>
      </c>
      <c r="B27" s="13" t="s">
        <v>26</v>
      </c>
      <c r="C27" s="12"/>
      <c r="D27" s="12">
        <v>40</v>
      </c>
      <c r="F27" s="23"/>
      <c r="G27" s="22" t="s">
        <v>57</v>
      </c>
      <c r="H27" s="21"/>
      <c r="I27" s="21">
        <v>80</v>
      </c>
    </row>
    <row r="28" spans="1:9">
      <c r="A28" s="14">
        <v>44310</v>
      </c>
      <c r="B28" s="13" t="s">
        <v>26</v>
      </c>
      <c r="C28" s="12"/>
      <c r="D28" s="12">
        <v>40</v>
      </c>
      <c r="F28" s="23">
        <v>44322</v>
      </c>
      <c r="G28" s="22" t="s">
        <v>4</v>
      </c>
      <c r="H28" s="21"/>
      <c r="I28" s="21">
        <v>40</v>
      </c>
    </row>
    <row r="29" spans="1:9">
      <c r="A29" s="12"/>
      <c r="B29" s="13" t="s">
        <v>3</v>
      </c>
      <c r="C29" s="12"/>
      <c r="D29" s="12">
        <v>100</v>
      </c>
      <c r="F29" s="23"/>
      <c r="G29" s="22" t="s">
        <v>7</v>
      </c>
      <c r="H29" s="21"/>
      <c r="I29" s="21">
        <v>90</v>
      </c>
    </row>
    <row r="30" spans="1:9">
      <c r="A30" s="14">
        <v>44311</v>
      </c>
      <c r="B30" s="13" t="s">
        <v>26</v>
      </c>
      <c r="C30" s="12"/>
      <c r="D30" s="12">
        <v>40</v>
      </c>
      <c r="F30" s="23"/>
      <c r="G30" s="22" t="s">
        <v>57</v>
      </c>
      <c r="H30" s="21"/>
      <c r="I30" s="21">
        <v>80</v>
      </c>
    </row>
    <row r="31" spans="1:9">
      <c r="A31" s="12"/>
      <c r="B31" s="13" t="s">
        <v>10</v>
      </c>
      <c r="C31" s="12"/>
      <c r="D31" s="12">
        <v>150</v>
      </c>
      <c r="F31" s="23">
        <v>44323</v>
      </c>
      <c r="G31" s="22" t="s">
        <v>4</v>
      </c>
      <c r="H31" s="21"/>
      <c r="I31" s="21">
        <v>40</v>
      </c>
    </row>
    <row r="32" spans="1:9">
      <c r="A32" s="12"/>
      <c r="B32" s="13" t="s">
        <v>3</v>
      </c>
      <c r="C32" s="12"/>
      <c r="D32" s="12">
        <v>80</v>
      </c>
      <c r="F32" s="21"/>
      <c r="G32" s="22" t="s">
        <v>7</v>
      </c>
      <c r="H32" s="21"/>
      <c r="I32" s="21">
        <v>90</v>
      </c>
    </row>
    <row r="33" spans="1:9">
      <c r="A33" s="14">
        <v>44312</v>
      </c>
      <c r="B33" s="13" t="s">
        <v>26</v>
      </c>
      <c r="C33" s="12"/>
      <c r="D33" s="12">
        <v>40</v>
      </c>
      <c r="F33" s="23"/>
      <c r="G33" s="22" t="s">
        <v>57</v>
      </c>
      <c r="H33" s="21"/>
      <c r="I33" s="21">
        <v>80</v>
      </c>
    </row>
    <row r="34" spans="1:9" ht="15.75">
      <c r="A34" s="12"/>
      <c r="B34" s="13" t="s">
        <v>29</v>
      </c>
      <c r="C34" s="12"/>
      <c r="D34" s="12">
        <v>180</v>
      </c>
      <c r="F34" s="23">
        <v>44366</v>
      </c>
      <c r="G34" s="22" t="s">
        <v>20</v>
      </c>
      <c r="H34" s="25">
        <v>1000</v>
      </c>
      <c r="I34" s="21"/>
    </row>
    <row r="35" spans="1:9">
      <c r="A35" s="12"/>
      <c r="B35" s="13" t="s">
        <v>10</v>
      </c>
      <c r="C35" s="12"/>
      <c r="D35" s="12">
        <v>110</v>
      </c>
      <c r="F35" s="23">
        <v>44367</v>
      </c>
      <c r="G35" s="22" t="s">
        <v>61</v>
      </c>
      <c r="H35" s="21"/>
      <c r="I35" s="21">
        <v>100</v>
      </c>
    </row>
    <row r="36" spans="1:9">
      <c r="A36" s="12"/>
      <c r="B36" s="13" t="s">
        <v>3</v>
      </c>
      <c r="C36" s="12"/>
      <c r="D36" s="12">
        <v>80</v>
      </c>
      <c r="F36" s="23"/>
      <c r="G36" s="22" t="s">
        <v>7</v>
      </c>
      <c r="H36" s="21"/>
      <c r="I36" s="21">
        <v>100</v>
      </c>
    </row>
    <row r="37" spans="1:9">
      <c r="A37" s="14">
        <v>44313</v>
      </c>
      <c r="B37" s="13" t="s">
        <v>26</v>
      </c>
      <c r="C37" s="12"/>
      <c r="D37" s="12">
        <v>40</v>
      </c>
      <c r="F37" s="21"/>
      <c r="G37" s="22" t="s">
        <v>62</v>
      </c>
      <c r="H37" s="21"/>
      <c r="I37" s="21">
        <v>840</v>
      </c>
    </row>
    <row r="38" spans="1:9" ht="15.75">
      <c r="A38" s="12"/>
      <c r="B38" s="13" t="s">
        <v>3</v>
      </c>
      <c r="C38" s="12"/>
      <c r="D38" s="12">
        <v>80</v>
      </c>
      <c r="F38" s="23">
        <v>44370</v>
      </c>
      <c r="G38" s="22" t="s">
        <v>20</v>
      </c>
      <c r="H38" s="25">
        <v>1000</v>
      </c>
      <c r="I38" s="21"/>
    </row>
    <row r="39" spans="1:9">
      <c r="A39" s="14">
        <v>44314</v>
      </c>
      <c r="B39" s="13" t="s">
        <v>26</v>
      </c>
      <c r="C39" s="12"/>
      <c r="D39" s="12">
        <v>40</v>
      </c>
      <c r="F39" s="21"/>
      <c r="G39" s="22" t="s">
        <v>63</v>
      </c>
      <c r="H39" s="21"/>
      <c r="I39" s="21">
        <v>180</v>
      </c>
    </row>
    <row r="40" spans="1:9">
      <c r="A40" s="12"/>
      <c r="B40" s="13" t="s">
        <v>3</v>
      </c>
      <c r="C40" s="12"/>
      <c r="D40" s="12">
        <v>80</v>
      </c>
      <c r="F40" s="23">
        <v>44371</v>
      </c>
      <c r="G40" s="22" t="s">
        <v>7</v>
      </c>
      <c r="H40" s="21"/>
      <c r="I40" s="21">
        <v>100</v>
      </c>
    </row>
    <row r="41" spans="1:9" ht="30">
      <c r="A41" s="14">
        <v>44315</v>
      </c>
      <c r="B41" s="13" t="s">
        <v>4</v>
      </c>
      <c r="C41" s="12"/>
      <c r="D41" s="12">
        <v>40</v>
      </c>
      <c r="F41" s="23">
        <v>44390</v>
      </c>
      <c r="G41" s="46" t="s">
        <v>64</v>
      </c>
      <c r="H41" s="21"/>
      <c r="I41" s="21">
        <v>200</v>
      </c>
    </row>
    <row r="42" spans="1:9" ht="15.75">
      <c r="A42" s="14"/>
      <c r="B42" s="50" t="s">
        <v>20</v>
      </c>
      <c r="C42" s="15">
        <v>5000</v>
      </c>
      <c r="D42" s="12">
        <v>40</v>
      </c>
      <c r="F42" s="23">
        <v>44391</v>
      </c>
      <c r="G42" s="46" t="s">
        <v>7</v>
      </c>
      <c r="H42" s="21"/>
      <c r="I42" s="21">
        <v>100</v>
      </c>
    </row>
    <row r="43" spans="1:9" ht="15.75">
      <c r="A43" s="14"/>
      <c r="B43" s="13" t="s">
        <v>7</v>
      </c>
      <c r="C43" s="15"/>
      <c r="D43" s="12">
        <v>120</v>
      </c>
      <c r="F43" s="23">
        <v>44394</v>
      </c>
      <c r="G43" s="46" t="s">
        <v>7</v>
      </c>
      <c r="H43" s="21"/>
      <c r="I43" s="21">
        <v>80</v>
      </c>
    </row>
    <row r="44" spans="1:9" ht="15.75">
      <c r="A44" s="14"/>
      <c r="B44" s="13" t="s">
        <v>50</v>
      </c>
      <c r="C44" s="15"/>
      <c r="D44" s="12">
        <v>140</v>
      </c>
      <c r="F44" s="23">
        <v>44397</v>
      </c>
      <c r="G44" s="46" t="s">
        <v>20</v>
      </c>
      <c r="H44" s="25">
        <v>1500</v>
      </c>
      <c r="I44" s="21"/>
    </row>
    <row r="45" spans="1:9" ht="30">
      <c r="A45" s="12"/>
      <c r="B45" s="13" t="s">
        <v>57</v>
      </c>
      <c r="C45" s="12"/>
      <c r="D45" s="12">
        <v>80</v>
      </c>
      <c r="F45" s="23"/>
      <c r="G45" s="46" t="s">
        <v>65</v>
      </c>
      <c r="H45" s="21"/>
      <c r="I45" s="21">
        <v>800</v>
      </c>
    </row>
    <row r="46" spans="1:9">
      <c r="A46" s="14">
        <v>44316</v>
      </c>
      <c r="B46" s="13" t="s">
        <v>4</v>
      </c>
      <c r="C46" s="12"/>
      <c r="D46" s="12">
        <v>40</v>
      </c>
      <c r="F46" s="23"/>
      <c r="G46" s="46"/>
      <c r="H46" s="21"/>
      <c r="I46" s="21"/>
    </row>
    <row r="47" spans="1:9">
      <c r="A47" s="12"/>
      <c r="B47" s="13" t="s">
        <v>57</v>
      </c>
      <c r="C47" s="12"/>
      <c r="D47" s="12">
        <v>100</v>
      </c>
      <c r="F47" s="23"/>
      <c r="G47" s="46"/>
      <c r="H47" s="21"/>
      <c r="I47" s="21"/>
    </row>
    <row r="48" spans="1:9">
      <c r="A48" s="14">
        <v>44317</v>
      </c>
      <c r="B48" s="13" t="s">
        <v>4</v>
      </c>
      <c r="C48" s="12"/>
      <c r="D48" s="12">
        <v>40</v>
      </c>
      <c r="F48" s="23"/>
      <c r="G48" s="46"/>
      <c r="H48" s="21"/>
      <c r="I48" s="21"/>
    </row>
    <row r="49" spans="1:9">
      <c r="A49" s="14"/>
      <c r="B49" s="13" t="s">
        <v>57</v>
      </c>
      <c r="C49" s="12"/>
      <c r="D49" s="12">
        <v>90</v>
      </c>
      <c r="F49" s="23"/>
      <c r="G49" s="46"/>
      <c r="H49" s="21"/>
      <c r="I49" s="21"/>
    </row>
    <row r="50" spans="1:9">
      <c r="A50" s="14">
        <v>44318</v>
      </c>
      <c r="B50" s="13" t="s">
        <v>4</v>
      </c>
      <c r="C50" s="12"/>
      <c r="D50" s="12">
        <v>30</v>
      </c>
      <c r="F50" s="21"/>
      <c r="G50" s="22"/>
      <c r="H50" s="21"/>
      <c r="I50" s="21"/>
    </row>
    <row r="51" spans="1:9" ht="15.75">
      <c r="A51" s="14"/>
      <c r="B51" s="13" t="s">
        <v>7</v>
      </c>
      <c r="C51" s="12"/>
      <c r="D51" s="12">
        <v>200</v>
      </c>
      <c r="F51" s="23"/>
      <c r="G51" s="24" t="s">
        <v>30</v>
      </c>
      <c r="H51" s="25">
        <f>SUM(H4:H50)</f>
        <v>16500</v>
      </c>
      <c r="I51" s="26">
        <f>SUM(I4:I50)</f>
        <v>16307</v>
      </c>
    </row>
    <row r="52" spans="1:9">
      <c r="A52" s="12"/>
      <c r="B52" s="13" t="s">
        <v>57</v>
      </c>
      <c r="C52" s="12"/>
      <c r="D52" s="12">
        <v>100</v>
      </c>
    </row>
    <row r="53" spans="1:9">
      <c r="A53" s="14">
        <v>44319</v>
      </c>
      <c r="B53" s="13" t="s">
        <v>4</v>
      </c>
      <c r="C53" s="12"/>
      <c r="D53" s="12">
        <v>40</v>
      </c>
    </row>
    <row r="54" spans="1:9">
      <c r="A54" s="14"/>
      <c r="B54" s="13" t="s">
        <v>7</v>
      </c>
      <c r="C54" s="12"/>
      <c r="D54" s="12">
        <v>150</v>
      </c>
    </row>
    <row r="55" spans="1:9">
      <c r="A55" s="12"/>
      <c r="B55" s="13" t="s">
        <v>58</v>
      </c>
      <c r="C55" s="12"/>
      <c r="D55" s="12">
        <f>420+150</f>
        <v>570</v>
      </c>
    </row>
    <row r="56" spans="1:9">
      <c r="A56" s="12"/>
      <c r="B56" s="13" t="s">
        <v>57</v>
      </c>
      <c r="C56" s="12"/>
      <c r="D56" s="12">
        <v>180</v>
      </c>
    </row>
    <row r="57" spans="1:9">
      <c r="A57" s="14">
        <v>44320</v>
      </c>
      <c r="B57" s="13" t="s">
        <v>4</v>
      </c>
      <c r="C57" s="12"/>
      <c r="D57" s="12">
        <v>30</v>
      </c>
    </row>
    <row r="58" spans="1:9">
      <c r="A58" s="12"/>
      <c r="B58" s="13" t="s">
        <v>7</v>
      </c>
      <c r="C58" s="12"/>
      <c r="D58" s="12">
        <v>190</v>
      </c>
    </row>
    <row r="59" spans="1:9">
      <c r="A59" s="12"/>
      <c r="B59" s="13" t="s">
        <v>57</v>
      </c>
      <c r="C59" s="12"/>
      <c r="D59" s="12">
        <v>90</v>
      </c>
    </row>
    <row r="60" spans="1:9">
      <c r="A60" s="14">
        <v>44321</v>
      </c>
      <c r="B60" s="13" t="s">
        <v>4</v>
      </c>
      <c r="C60" s="12"/>
      <c r="D60" s="12">
        <v>40</v>
      </c>
    </row>
    <row r="61" spans="1:9">
      <c r="A61" s="12"/>
      <c r="B61" s="13" t="s">
        <v>7</v>
      </c>
      <c r="C61" s="12"/>
      <c r="D61" s="12">
        <v>100</v>
      </c>
    </row>
    <row r="62" spans="1:9">
      <c r="A62" s="12"/>
      <c r="B62" s="13" t="s">
        <v>50</v>
      </c>
      <c r="C62" s="12"/>
      <c r="D62" s="12">
        <v>175</v>
      </c>
    </row>
    <row r="63" spans="1:9">
      <c r="A63" s="14"/>
      <c r="B63" s="13" t="s">
        <v>57</v>
      </c>
      <c r="C63" s="12"/>
      <c r="D63" s="12">
        <v>80</v>
      </c>
    </row>
    <row r="64" spans="1:9">
      <c r="A64" s="14">
        <v>44322</v>
      </c>
      <c r="B64" s="13" t="s">
        <v>4</v>
      </c>
      <c r="C64" s="12"/>
      <c r="D64" s="12">
        <v>40</v>
      </c>
    </row>
    <row r="65" spans="1:4">
      <c r="A65" s="14"/>
      <c r="B65" s="13" t="s">
        <v>7</v>
      </c>
      <c r="C65" s="12"/>
      <c r="D65" s="12">
        <v>90</v>
      </c>
    </row>
    <row r="66" spans="1:4">
      <c r="A66" s="14"/>
      <c r="B66" s="13" t="s">
        <v>57</v>
      </c>
      <c r="C66" s="12"/>
      <c r="D66" s="12">
        <v>80</v>
      </c>
    </row>
    <row r="67" spans="1:4">
      <c r="A67" s="14">
        <v>44323</v>
      </c>
      <c r="B67" s="13" t="s">
        <v>4</v>
      </c>
      <c r="C67" s="12"/>
      <c r="D67" s="12">
        <v>40</v>
      </c>
    </row>
    <row r="68" spans="1:4">
      <c r="A68" s="12"/>
      <c r="B68" s="13" t="s">
        <v>7</v>
      </c>
      <c r="C68" s="12"/>
      <c r="D68" s="12">
        <v>90</v>
      </c>
    </row>
    <row r="69" spans="1:4">
      <c r="A69" s="14"/>
      <c r="B69" s="13" t="s">
        <v>57</v>
      </c>
      <c r="C69" s="12"/>
      <c r="D69" s="12">
        <v>80</v>
      </c>
    </row>
    <row r="70" spans="1:4" ht="15.75">
      <c r="A70" s="14">
        <v>44366</v>
      </c>
      <c r="B70" s="50" t="s">
        <v>20</v>
      </c>
      <c r="C70" s="15">
        <v>1000</v>
      </c>
      <c r="D70" s="12"/>
    </row>
    <row r="71" spans="1:4">
      <c r="A71" s="14">
        <v>44367</v>
      </c>
      <c r="B71" s="13" t="s">
        <v>61</v>
      </c>
      <c r="C71" s="12"/>
      <c r="D71" s="12">
        <v>100</v>
      </c>
    </row>
    <row r="72" spans="1:4">
      <c r="A72" s="14"/>
      <c r="B72" s="13" t="s">
        <v>7</v>
      </c>
      <c r="C72" s="12"/>
      <c r="D72" s="12">
        <v>100</v>
      </c>
    </row>
    <row r="73" spans="1:4">
      <c r="A73" s="12"/>
      <c r="B73" s="13" t="s">
        <v>62</v>
      </c>
      <c r="C73" s="12"/>
      <c r="D73" s="12">
        <v>840</v>
      </c>
    </row>
    <row r="74" spans="1:4" ht="15.75">
      <c r="A74" s="14">
        <v>44370</v>
      </c>
      <c r="B74" s="50" t="s">
        <v>20</v>
      </c>
      <c r="C74" s="15">
        <v>1000</v>
      </c>
      <c r="D74" s="12"/>
    </row>
    <row r="75" spans="1:4">
      <c r="A75" s="12"/>
      <c r="B75" s="13" t="s">
        <v>63</v>
      </c>
      <c r="C75" s="12"/>
      <c r="D75" s="12">
        <v>180</v>
      </c>
    </row>
    <row r="76" spans="1:4">
      <c r="A76" s="14">
        <v>44371</v>
      </c>
      <c r="B76" s="13" t="s">
        <v>7</v>
      </c>
      <c r="C76" s="12"/>
      <c r="D76" s="12">
        <v>100</v>
      </c>
    </row>
    <row r="77" spans="1:4" ht="30">
      <c r="A77" s="14">
        <v>44390</v>
      </c>
      <c r="B77" s="28" t="s">
        <v>64</v>
      </c>
      <c r="C77" s="12"/>
      <c r="D77" s="12">
        <v>200</v>
      </c>
    </row>
    <row r="78" spans="1:4">
      <c r="A78" s="14">
        <v>44391</v>
      </c>
      <c r="B78" s="28" t="s">
        <v>7</v>
      </c>
      <c r="C78" s="12"/>
      <c r="D78" s="12">
        <v>100</v>
      </c>
    </row>
    <row r="79" spans="1:4">
      <c r="A79" s="14">
        <v>44394</v>
      </c>
      <c r="B79" s="28" t="s">
        <v>7</v>
      </c>
      <c r="C79" s="12"/>
      <c r="D79" s="12">
        <v>80</v>
      </c>
    </row>
    <row r="80" spans="1:4" ht="15.75">
      <c r="A80" s="14">
        <v>44397</v>
      </c>
      <c r="B80" s="50" t="s">
        <v>20</v>
      </c>
      <c r="C80" s="15">
        <v>1500</v>
      </c>
      <c r="D80" s="12"/>
    </row>
    <row r="81" spans="1:4" ht="30">
      <c r="A81" s="14"/>
      <c r="B81" s="28" t="s">
        <v>65</v>
      </c>
      <c r="C81" s="12"/>
      <c r="D81" s="12">
        <v>800</v>
      </c>
    </row>
    <row r="82" spans="1:4" ht="15.75">
      <c r="A82" s="14"/>
      <c r="B82" s="51" t="s">
        <v>30</v>
      </c>
      <c r="C82" s="15">
        <f>SUM(C4:C81)</f>
        <v>16500</v>
      </c>
      <c r="D82" s="52">
        <f>SUM(D4:D81)</f>
        <v>16467</v>
      </c>
    </row>
    <row r="85" spans="1:4">
      <c r="A85" s="81" t="s">
        <v>18</v>
      </c>
      <c r="B85" s="81"/>
      <c r="C85" s="81"/>
      <c r="D85" s="81"/>
    </row>
    <row r="86" spans="1:4">
      <c r="A86" s="82"/>
      <c r="B86" s="82"/>
      <c r="C86" s="82"/>
      <c r="D86" s="82"/>
    </row>
    <row r="87" spans="1:4" ht="18.75">
      <c r="A87" s="8" t="s">
        <v>16</v>
      </c>
      <c r="B87" s="9" t="s">
        <v>1</v>
      </c>
      <c r="C87" s="9" t="s">
        <v>17</v>
      </c>
      <c r="D87" s="9" t="s">
        <v>19</v>
      </c>
    </row>
    <row r="88" spans="1:4" ht="15.75">
      <c r="A88" s="10">
        <v>44465</v>
      </c>
      <c r="B88" s="50" t="s">
        <v>20</v>
      </c>
      <c r="C88" s="15">
        <v>2000</v>
      </c>
      <c r="D88" s="12"/>
    </row>
    <row r="89" spans="1:4">
      <c r="A89" s="53">
        <v>44467</v>
      </c>
      <c r="B89" s="54" t="s">
        <v>87</v>
      </c>
      <c r="C89" s="55"/>
      <c r="D89" s="55">
        <v>1310</v>
      </c>
    </row>
    <row r="90" spans="1:4">
      <c r="A90" s="53"/>
      <c r="B90" s="54" t="s">
        <v>61</v>
      </c>
      <c r="C90" s="55"/>
      <c r="D90" s="55">
        <v>100</v>
      </c>
    </row>
    <row r="91" spans="1:4" ht="30">
      <c r="A91" s="53">
        <v>44468</v>
      </c>
      <c r="B91" s="57" t="s">
        <v>88</v>
      </c>
      <c r="C91" s="15"/>
      <c r="D91" s="55">
        <f>427+77</f>
        <v>504</v>
      </c>
    </row>
    <row r="92" spans="1:4" ht="18.75">
      <c r="A92" s="14"/>
      <c r="B92" s="43" t="s">
        <v>30</v>
      </c>
      <c r="C92" s="45">
        <f>SUM(C88:C91)</f>
        <v>2000</v>
      </c>
      <c r="D92" s="45">
        <f>SUM(D88:D91)</f>
        <v>1914</v>
      </c>
    </row>
    <row r="94" spans="1:4">
      <c r="A94" s="81" t="s">
        <v>18</v>
      </c>
      <c r="B94" s="81"/>
      <c r="C94" s="81"/>
      <c r="D94" s="81"/>
    </row>
    <row r="95" spans="1:4">
      <c r="A95" s="82"/>
      <c r="B95" s="82"/>
      <c r="C95" s="82"/>
      <c r="D95" s="82"/>
    </row>
    <row r="96" spans="1:4" ht="18.75">
      <c r="A96" s="8" t="s">
        <v>16</v>
      </c>
      <c r="B96" s="9" t="s">
        <v>1</v>
      </c>
      <c r="C96" s="9" t="s">
        <v>17</v>
      </c>
      <c r="D96" s="9" t="s">
        <v>19</v>
      </c>
    </row>
    <row r="97" spans="1:4" ht="15.75">
      <c r="A97" s="10">
        <v>44537</v>
      </c>
      <c r="B97" s="50" t="s">
        <v>20</v>
      </c>
      <c r="C97" s="15">
        <v>1500</v>
      </c>
      <c r="D97" s="12"/>
    </row>
    <row r="98" spans="1:4">
      <c r="A98" s="53">
        <v>44538</v>
      </c>
      <c r="B98" s="54" t="s">
        <v>105</v>
      </c>
      <c r="C98" s="55"/>
      <c r="D98" s="55">
        <f>576+100+100+473</f>
        <v>1249</v>
      </c>
    </row>
    <row r="99" spans="1:4">
      <c r="A99" s="53">
        <v>44540</v>
      </c>
      <c r="B99" s="54" t="s">
        <v>106</v>
      </c>
      <c r="C99" s="55"/>
      <c r="D99" s="55">
        <v>105</v>
      </c>
    </row>
    <row r="100" spans="1:4">
      <c r="A100" s="53"/>
      <c r="B100" s="54" t="s">
        <v>107</v>
      </c>
      <c r="C100" s="55"/>
      <c r="D100" s="55">
        <v>10</v>
      </c>
    </row>
    <row r="101" spans="1:4">
      <c r="A101" s="53">
        <v>44542</v>
      </c>
      <c r="B101" s="54" t="s">
        <v>85</v>
      </c>
      <c r="C101" s="55"/>
      <c r="D101" s="55">
        <v>80</v>
      </c>
    </row>
    <row r="102" spans="1:4">
      <c r="A102" s="53"/>
      <c r="B102" s="54" t="s">
        <v>32</v>
      </c>
      <c r="C102" s="55"/>
      <c r="D102" s="55">
        <v>50</v>
      </c>
    </row>
    <row r="103" spans="1:4">
      <c r="A103" s="53">
        <v>44547</v>
      </c>
      <c r="B103" s="54" t="s">
        <v>107</v>
      </c>
      <c r="C103" s="55"/>
      <c r="D103" s="55">
        <v>10</v>
      </c>
    </row>
    <row r="104" spans="1:4">
      <c r="A104" s="53"/>
      <c r="B104" s="54" t="s">
        <v>85</v>
      </c>
      <c r="C104" s="55"/>
      <c r="D104" s="55">
        <v>70</v>
      </c>
    </row>
    <row r="105" spans="1:4" ht="30">
      <c r="A105" s="53">
        <v>44551</v>
      </c>
      <c r="B105" s="57" t="s">
        <v>108</v>
      </c>
      <c r="C105" s="55"/>
      <c r="D105" s="55">
        <f>127+140+30</f>
        <v>297</v>
      </c>
    </row>
    <row r="106" spans="1:4">
      <c r="A106" s="53">
        <v>44568</v>
      </c>
      <c r="B106" s="54" t="s">
        <v>105</v>
      </c>
      <c r="C106" s="55"/>
      <c r="D106" s="55">
        <f>200+180+50+65+180</f>
        <v>675</v>
      </c>
    </row>
    <row r="107" spans="1:4">
      <c r="A107" s="53"/>
      <c r="B107" s="54" t="s">
        <v>7</v>
      </c>
      <c r="C107" s="55"/>
      <c r="D107" s="55">
        <v>120</v>
      </c>
    </row>
    <row r="108" spans="1:4">
      <c r="A108" s="53"/>
      <c r="B108" s="54" t="s">
        <v>3</v>
      </c>
      <c r="C108" s="55"/>
      <c r="D108" s="55">
        <v>60</v>
      </c>
    </row>
    <row r="109" spans="1:4" ht="15.75">
      <c r="A109" s="10">
        <v>44569</v>
      </c>
      <c r="B109" s="50" t="s">
        <v>20</v>
      </c>
      <c r="C109" s="15">
        <v>2000</v>
      </c>
      <c r="D109" s="55"/>
    </row>
    <row r="110" spans="1:4" ht="15.75">
      <c r="A110" s="10"/>
      <c r="B110" s="54" t="s">
        <v>107</v>
      </c>
      <c r="C110" s="15"/>
      <c r="D110" s="55">
        <v>10</v>
      </c>
    </row>
    <row r="111" spans="1:4" ht="15.75">
      <c r="A111" s="10"/>
      <c r="B111" s="54" t="s">
        <v>85</v>
      </c>
      <c r="C111" s="15"/>
      <c r="D111" s="55">
        <v>90</v>
      </c>
    </row>
    <row r="112" spans="1:4" ht="15.75">
      <c r="A112" s="10"/>
      <c r="B112" s="54" t="s">
        <v>111</v>
      </c>
      <c r="C112" s="15"/>
      <c r="D112" s="55">
        <f>650+286+250+20</f>
        <v>1206</v>
      </c>
    </row>
    <row r="113" spans="1:4" ht="15.75">
      <c r="A113" s="53">
        <v>44570</v>
      </c>
      <c r="B113" s="54" t="s">
        <v>4</v>
      </c>
      <c r="C113" s="15"/>
      <c r="D113" s="55">
        <v>30</v>
      </c>
    </row>
    <row r="114" spans="1:4" ht="15.75">
      <c r="A114" s="10"/>
      <c r="B114" s="54" t="s">
        <v>111</v>
      </c>
      <c r="C114" s="15"/>
      <c r="D114" s="55">
        <f>235+419+250</f>
        <v>904</v>
      </c>
    </row>
    <row r="115" spans="1:4" ht="15.75">
      <c r="A115" s="10"/>
      <c r="B115" s="54" t="s">
        <v>85</v>
      </c>
      <c r="C115" s="15"/>
      <c r="D115" s="55">
        <f>60+35</f>
        <v>95</v>
      </c>
    </row>
    <row r="116" spans="1:4" ht="15.75">
      <c r="A116" s="10"/>
      <c r="B116" s="54" t="s">
        <v>110</v>
      </c>
      <c r="C116" s="15"/>
      <c r="D116" s="55">
        <v>150</v>
      </c>
    </row>
    <row r="117" spans="1:4" ht="15.75">
      <c r="A117" s="53">
        <v>44571</v>
      </c>
      <c r="B117" s="54" t="s">
        <v>61</v>
      </c>
      <c r="C117" s="15"/>
      <c r="D117" s="55">
        <v>65</v>
      </c>
    </row>
    <row r="118" spans="1:4" ht="15.75">
      <c r="A118" s="10"/>
      <c r="B118" s="54" t="s">
        <v>113</v>
      </c>
      <c r="C118" s="15"/>
      <c r="D118" s="55">
        <f>50+50+35+50</f>
        <v>185</v>
      </c>
    </row>
    <row r="119" spans="1:4" ht="15.75">
      <c r="A119" s="53">
        <v>44574</v>
      </c>
      <c r="B119" s="54" t="s">
        <v>4</v>
      </c>
      <c r="C119" s="15"/>
      <c r="D119" s="55">
        <v>30</v>
      </c>
    </row>
    <row r="120" spans="1:4" ht="18.75">
      <c r="A120" s="14"/>
      <c r="B120" s="43" t="s">
        <v>30</v>
      </c>
      <c r="C120" s="45">
        <f>SUM(C97:C119)</f>
        <v>3500</v>
      </c>
      <c r="D120" s="45">
        <f>SUM(D97:D119)</f>
        <v>5491</v>
      </c>
    </row>
    <row r="122" spans="1:4">
      <c r="A122" s="86" t="s">
        <v>18</v>
      </c>
      <c r="B122" s="86"/>
      <c r="C122" s="86"/>
      <c r="D122" s="86"/>
    </row>
    <row r="123" spans="1:4">
      <c r="A123" s="86"/>
      <c r="B123" s="86"/>
      <c r="C123" s="86"/>
      <c r="D123" s="86"/>
    </row>
    <row r="124" spans="1:4" ht="18.75">
      <c r="A124" s="17" t="s">
        <v>16</v>
      </c>
      <c r="B124" s="18" t="s">
        <v>1</v>
      </c>
      <c r="C124" s="18" t="s">
        <v>17</v>
      </c>
      <c r="D124" s="18" t="s">
        <v>19</v>
      </c>
    </row>
    <row r="125" spans="1:4" ht="15.75">
      <c r="A125" s="62">
        <v>44574</v>
      </c>
      <c r="B125" s="20" t="s">
        <v>20</v>
      </c>
      <c r="C125" s="64">
        <v>2000</v>
      </c>
      <c r="D125" s="5"/>
    </row>
    <row r="126" spans="1:4">
      <c r="A126" s="63">
        <v>44575</v>
      </c>
      <c r="B126" s="65" t="s">
        <v>4</v>
      </c>
      <c r="C126" s="5"/>
      <c r="D126" s="5">
        <v>40</v>
      </c>
    </row>
    <row r="127" spans="1:4">
      <c r="A127" s="63"/>
      <c r="B127" s="65" t="s">
        <v>85</v>
      </c>
      <c r="C127" s="5"/>
      <c r="D127" s="5">
        <v>80</v>
      </c>
    </row>
    <row r="128" spans="1:4">
      <c r="A128" s="5"/>
      <c r="B128" s="65" t="s">
        <v>114</v>
      </c>
      <c r="C128" s="5"/>
      <c r="D128" s="5">
        <v>70</v>
      </c>
    </row>
    <row r="129" spans="1:14">
      <c r="A129" s="63">
        <v>44576</v>
      </c>
      <c r="B129" s="65" t="s">
        <v>4</v>
      </c>
      <c r="C129" s="5"/>
      <c r="D129" s="5">
        <v>40</v>
      </c>
    </row>
    <row r="130" spans="1:14">
      <c r="A130" s="5"/>
      <c r="B130" s="65" t="s">
        <v>61</v>
      </c>
      <c r="C130" s="5"/>
      <c r="D130" s="5">
        <v>120</v>
      </c>
    </row>
    <row r="131" spans="1:14">
      <c r="A131" s="63">
        <v>44577</v>
      </c>
      <c r="B131" s="65" t="s">
        <v>4</v>
      </c>
      <c r="C131" s="5"/>
      <c r="D131" s="5">
        <v>40</v>
      </c>
    </row>
    <row r="132" spans="1:14">
      <c r="A132" s="5"/>
      <c r="B132" s="65" t="s">
        <v>115</v>
      </c>
      <c r="C132" s="5"/>
      <c r="D132" s="5">
        <f>8*30</f>
        <v>240</v>
      </c>
    </row>
    <row r="133" spans="1:14">
      <c r="A133" s="5"/>
      <c r="B133" s="65" t="s">
        <v>111</v>
      </c>
      <c r="C133" s="5"/>
      <c r="D133" s="5">
        <f>335+250</f>
        <v>585</v>
      </c>
    </row>
    <row r="134" spans="1:14">
      <c r="A134" s="5"/>
      <c r="B134" s="65" t="s">
        <v>7</v>
      </c>
      <c r="C134" s="5"/>
      <c r="D134" s="5">
        <v>130</v>
      </c>
    </row>
    <row r="135" spans="1:14">
      <c r="A135" s="5"/>
      <c r="B135" s="65" t="s">
        <v>3</v>
      </c>
      <c r="C135" s="5"/>
      <c r="D135" s="5">
        <v>80</v>
      </c>
    </row>
    <row r="136" spans="1:14">
      <c r="A136" s="63">
        <v>44603</v>
      </c>
      <c r="B136" s="65" t="s">
        <v>32</v>
      </c>
      <c r="C136" s="5"/>
      <c r="D136" s="5">
        <v>130</v>
      </c>
    </row>
    <row r="137" spans="1:14">
      <c r="A137" s="63"/>
      <c r="B137" s="65" t="s">
        <v>85</v>
      </c>
      <c r="C137" s="5"/>
      <c r="D137" s="5">
        <v>60</v>
      </c>
    </row>
    <row r="138" spans="1:14">
      <c r="A138" s="5"/>
      <c r="B138" s="65" t="s">
        <v>119</v>
      </c>
      <c r="C138" s="5"/>
      <c r="D138" s="5">
        <v>60</v>
      </c>
    </row>
    <row r="139" spans="1:14">
      <c r="A139" s="63">
        <v>44608</v>
      </c>
      <c r="B139" s="65" t="s">
        <v>119</v>
      </c>
      <c r="C139" s="5"/>
      <c r="D139" s="5">
        <v>60</v>
      </c>
      <c r="N139" s="6">
        <v>50</v>
      </c>
    </row>
    <row r="140" spans="1:14">
      <c r="A140" s="63"/>
      <c r="B140" s="65" t="s">
        <v>85</v>
      </c>
      <c r="C140" s="5"/>
      <c r="D140" s="5">
        <v>40</v>
      </c>
      <c r="N140" s="6">
        <f>9.81*N139</f>
        <v>490.5</v>
      </c>
    </row>
    <row r="141" spans="1:14">
      <c r="A141" s="63">
        <v>44640</v>
      </c>
      <c r="B141" s="65" t="s">
        <v>32</v>
      </c>
      <c r="C141" s="5"/>
      <c r="D141" s="5">
        <v>130</v>
      </c>
    </row>
    <row r="142" spans="1:14">
      <c r="A142" s="63"/>
      <c r="B142" s="65" t="s">
        <v>3</v>
      </c>
      <c r="C142" s="5"/>
      <c r="D142" s="5">
        <v>80</v>
      </c>
    </row>
    <row r="143" spans="1:14">
      <c r="A143" s="63">
        <v>44665</v>
      </c>
      <c r="B143" s="65" t="s">
        <v>127</v>
      </c>
      <c r="C143" s="5"/>
      <c r="D143" s="47">
        <v>50</v>
      </c>
    </row>
    <row r="144" spans="1:14">
      <c r="A144" s="63"/>
      <c r="B144" s="65" t="s">
        <v>85</v>
      </c>
      <c r="C144" s="5"/>
      <c r="D144" s="47">
        <v>60</v>
      </c>
    </row>
    <row r="145" spans="1:4">
      <c r="A145" s="63">
        <v>44668</v>
      </c>
      <c r="B145" s="65" t="s">
        <v>3</v>
      </c>
      <c r="C145" s="5"/>
      <c r="D145" s="47">
        <v>100</v>
      </c>
    </row>
    <row r="146" spans="1:4">
      <c r="A146" s="62">
        <v>44673</v>
      </c>
      <c r="B146" s="75" t="s">
        <v>20</v>
      </c>
      <c r="C146" s="64">
        <v>1000</v>
      </c>
      <c r="D146" s="47"/>
    </row>
    <row r="147" spans="1:4">
      <c r="A147" s="63">
        <v>44673</v>
      </c>
      <c r="B147" s="65" t="s">
        <v>3</v>
      </c>
      <c r="C147" s="5"/>
      <c r="D147" s="47">
        <f>40+30+30+30</f>
        <v>130</v>
      </c>
    </row>
    <row r="148" spans="1:4">
      <c r="A148" s="63"/>
      <c r="B148" s="65" t="s">
        <v>32</v>
      </c>
      <c r="C148" s="5"/>
      <c r="D148" s="47">
        <v>70</v>
      </c>
    </row>
    <row r="149" spans="1:4">
      <c r="A149" s="63"/>
      <c r="B149" s="65" t="s">
        <v>130</v>
      </c>
      <c r="C149" s="5"/>
      <c r="D149" s="47">
        <v>70</v>
      </c>
    </row>
    <row r="150" spans="1:4">
      <c r="A150" s="63"/>
      <c r="B150" s="65" t="s">
        <v>85</v>
      </c>
      <c r="C150" s="5"/>
      <c r="D150" s="47">
        <v>80</v>
      </c>
    </row>
    <row r="151" spans="1:4" ht="30">
      <c r="A151" s="63">
        <v>44691</v>
      </c>
      <c r="B151" s="76" t="s">
        <v>108</v>
      </c>
      <c r="C151" s="5"/>
      <c r="D151" s="5">
        <f>294+50+40+90</f>
        <v>474</v>
      </c>
    </row>
    <row r="152" spans="1:4">
      <c r="A152" s="63"/>
      <c r="B152" s="65" t="s">
        <v>3</v>
      </c>
      <c r="C152" s="5"/>
      <c r="D152" s="5">
        <v>120</v>
      </c>
    </row>
    <row r="153" spans="1:4">
      <c r="A153" s="63"/>
      <c r="B153" s="65" t="s">
        <v>85</v>
      </c>
      <c r="C153" s="5"/>
      <c r="D153" s="5">
        <v>60</v>
      </c>
    </row>
    <row r="154" spans="1:4">
      <c r="A154" s="63"/>
      <c r="B154" s="65" t="s">
        <v>127</v>
      </c>
      <c r="C154" s="5"/>
      <c r="D154" s="5">
        <v>100</v>
      </c>
    </row>
    <row r="155" spans="1:4">
      <c r="A155" s="63"/>
      <c r="B155" s="65" t="s">
        <v>106</v>
      </c>
      <c r="C155" s="5"/>
      <c r="D155" s="5">
        <v>150</v>
      </c>
    </row>
    <row r="156" spans="1:4">
      <c r="A156" s="62">
        <v>44694</v>
      </c>
      <c r="B156" s="75" t="s">
        <v>20</v>
      </c>
      <c r="C156" s="64">
        <v>1000</v>
      </c>
      <c r="D156" s="5"/>
    </row>
    <row r="157" spans="1:4">
      <c r="A157" s="62">
        <v>44708</v>
      </c>
      <c r="B157" s="75" t="s">
        <v>20</v>
      </c>
      <c r="C157" s="64">
        <v>1000</v>
      </c>
      <c r="D157" s="5"/>
    </row>
    <row r="158" spans="1:4" ht="15.75">
      <c r="A158" s="63"/>
      <c r="B158" s="48" t="s">
        <v>134</v>
      </c>
      <c r="C158" s="2"/>
      <c r="D158" s="47">
        <f>100+90+270+250+800</f>
        <v>1510</v>
      </c>
    </row>
    <row r="159" spans="1:4">
      <c r="A159" s="5"/>
      <c r="B159" s="65"/>
      <c r="C159" s="5"/>
      <c r="D159" s="5"/>
    </row>
    <row r="160" spans="1:4">
      <c r="A160" s="5"/>
      <c r="B160" s="65"/>
      <c r="C160" s="64">
        <f>SUM(C125:C159)</f>
        <v>5000</v>
      </c>
      <c r="D160" s="66">
        <f>SUM(D125:D159)</f>
        <v>4959</v>
      </c>
    </row>
    <row r="161" spans="4:4">
      <c r="D161" s="66">
        <f>+C160-D160</f>
        <v>41</v>
      </c>
    </row>
    <row r="162" spans="4:4">
      <c r="D162" s="60"/>
    </row>
    <row r="163" spans="4:4">
      <c r="D163" s="60"/>
    </row>
  </sheetData>
  <mergeCells count="5">
    <mergeCell ref="A1:D1"/>
    <mergeCell ref="F1:I1"/>
    <mergeCell ref="A85:D86"/>
    <mergeCell ref="A94:D95"/>
    <mergeCell ref="A122:D123"/>
  </mergeCells>
  <printOptions horizontalCentered="1"/>
  <pageMargins left="0.39370078740157483" right="0.39370078740157483" top="0.39370078740157483" bottom="0.39370078740157483" header="0" footer="0"/>
  <pageSetup paperSize="9" scale="1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I33"/>
  <sheetViews>
    <sheetView topLeftCell="A20" workbookViewId="0">
      <selection activeCell="E22" sqref="E22"/>
    </sheetView>
  </sheetViews>
  <sheetFormatPr defaultRowHeight="15"/>
  <cols>
    <col min="1" max="1" width="9.28515625" bestFit="1" customWidth="1"/>
    <col min="2" max="2" width="21" customWidth="1"/>
    <col min="3" max="4" width="11.5703125" bestFit="1" customWidth="1"/>
    <col min="5" max="5" width="10.42578125" customWidth="1"/>
    <col min="6" max="6" width="9.28515625" bestFit="1" customWidth="1"/>
    <col min="7" max="7" width="11.28515625" bestFit="1" customWidth="1"/>
    <col min="8" max="8" width="10.42578125" bestFit="1" customWidth="1"/>
  </cols>
  <sheetData>
    <row r="1" spans="1:9" ht="18.75">
      <c r="A1" s="87" t="s">
        <v>101</v>
      </c>
      <c r="B1" s="87"/>
      <c r="C1" s="87"/>
      <c r="D1" s="87"/>
      <c r="E1" s="87"/>
      <c r="F1" s="87"/>
      <c r="G1" s="87"/>
      <c r="I1" t="s">
        <v>96</v>
      </c>
    </row>
    <row r="2" spans="1:9" ht="15.75">
      <c r="A2" s="89" t="s">
        <v>98</v>
      </c>
      <c r="B2" s="89" t="s">
        <v>1</v>
      </c>
      <c r="C2" s="89" t="s">
        <v>16</v>
      </c>
      <c r="D2" s="89"/>
      <c r="E2" s="88" t="s">
        <v>103</v>
      </c>
      <c r="F2" s="89" t="s">
        <v>17</v>
      </c>
      <c r="G2" s="89" t="s">
        <v>19</v>
      </c>
      <c r="I2" t="s">
        <v>97</v>
      </c>
    </row>
    <row r="3" spans="1:9" ht="15.75">
      <c r="A3" s="89"/>
      <c r="B3" s="89"/>
      <c r="C3" s="67" t="s">
        <v>99</v>
      </c>
      <c r="D3" s="67" t="s">
        <v>100</v>
      </c>
      <c r="E3" s="88"/>
      <c r="F3" s="89"/>
      <c r="G3" s="89"/>
    </row>
    <row r="4" spans="1:9" ht="47.25">
      <c r="A4" s="68">
        <v>1</v>
      </c>
      <c r="B4" s="74" t="s">
        <v>102</v>
      </c>
      <c r="C4" s="69">
        <v>44503</v>
      </c>
      <c r="D4" s="69">
        <v>44511</v>
      </c>
      <c r="E4" s="70">
        <f t="shared" ref="E4:E13" si="0">+D4-C4+1</f>
        <v>9</v>
      </c>
      <c r="F4" s="68">
        <v>13500</v>
      </c>
      <c r="G4" s="68">
        <f t="shared" ref="G4:G13" si="1">+E4*1500</f>
        <v>13500</v>
      </c>
    </row>
    <row r="5" spans="1:9" ht="47.25">
      <c r="A5" s="68">
        <v>2</v>
      </c>
      <c r="B5" s="74" t="s">
        <v>104</v>
      </c>
      <c r="C5" s="69">
        <v>44517</v>
      </c>
      <c r="D5" s="69">
        <v>44524</v>
      </c>
      <c r="E5" s="70">
        <f t="shared" si="0"/>
        <v>8</v>
      </c>
      <c r="F5" s="68">
        <v>20000</v>
      </c>
      <c r="G5" s="68">
        <f t="shared" si="1"/>
        <v>12000</v>
      </c>
      <c r="H5" s="61"/>
    </row>
    <row r="6" spans="1:9" ht="47.25">
      <c r="A6" s="68">
        <v>3</v>
      </c>
      <c r="B6" s="74" t="s">
        <v>104</v>
      </c>
      <c r="C6" s="69">
        <v>44540</v>
      </c>
      <c r="D6" s="69">
        <v>44551</v>
      </c>
      <c r="E6" s="70">
        <f t="shared" si="0"/>
        <v>12</v>
      </c>
      <c r="F6" s="68">
        <v>25000</v>
      </c>
      <c r="G6" s="68">
        <f t="shared" si="1"/>
        <v>18000</v>
      </c>
    </row>
    <row r="7" spans="1:9" ht="51" customHeight="1">
      <c r="A7" s="68">
        <v>4</v>
      </c>
      <c r="B7" s="74" t="s">
        <v>109</v>
      </c>
      <c r="C7" s="69">
        <v>44553</v>
      </c>
      <c r="D7" s="69">
        <v>44555</v>
      </c>
      <c r="E7" s="70">
        <f t="shared" si="0"/>
        <v>3</v>
      </c>
      <c r="F7" s="68"/>
      <c r="G7" s="68">
        <f t="shared" si="1"/>
        <v>4500</v>
      </c>
    </row>
    <row r="8" spans="1:9" ht="31.5">
      <c r="A8" s="68">
        <v>5</v>
      </c>
      <c r="B8" s="74" t="s">
        <v>112</v>
      </c>
      <c r="C8" s="69">
        <v>44558</v>
      </c>
      <c r="D8" s="69">
        <v>44559</v>
      </c>
      <c r="E8" s="70">
        <f t="shared" si="0"/>
        <v>2</v>
      </c>
      <c r="F8" s="68"/>
      <c r="G8" s="68">
        <f t="shared" si="1"/>
        <v>3000</v>
      </c>
    </row>
    <row r="9" spans="1:9" ht="47.25">
      <c r="A9" s="68">
        <v>6</v>
      </c>
      <c r="B9" s="74" t="s">
        <v>104</v>
      </c>
      <c r="C9" s="69">
        <v>44569</v>
      </c>
      <c r="D9" s="69">
        <v>44576</v>
      </c>
      <c r="E9" s="70">
        <f t="shared" si="0"/>
        <v>8</v>
      </c>
      <c r="F9" s="68">
        <v>5000</v>
      </c>
      <c r="G9" s="68">
        <f t="shared" si="1"/>
        <v>12000</v>
      </c>
    </row>
    <row r="10" spans="1:9" ht="47.25">
      <c r="A10" s="68">
        <v>7</v>
      </c>
      <c r="B10" s="74" t="s">
        <v>104</v>
      </c>
      <c r="C10" s="69">
        <v>44601</v>
      </c>
      <c r="D10" s="69">
        <v>44612</v>
      </c>
      <c r="E10" s="70">
        <f t="shared" si="0"/>
        <v>12</v>
      </c>
      <c r="F10" s="68">
        <v>20000</v>
      </c>
      <c r="G10" s="68">
        <f t="shared" si="1"/>
        <v>18000</v>
      </c>
    </row>
    <row r="11" spans="1:9" ht="47.25">
      <c r="A11" s="68">
        <v>8</v>
      </c>
      <c r="B11" s="74" t="s">
        <v>121</v>
      </c>
      <c r="C11" s="69">
        <v>44623</v>
      </c>
      <c r="D11" s="69">
        <v>44632</v>
      </c>
      <c r="E11" s="70">
        <f t="shared" si="0"/>
        <v>10</v>
      </c>
      <c r="F11" s="68"/>
      <c r="G11" s="68">
        <f t="shared" si="1"/>
        <v>15000</v>
      </c>
    </row>
    <row r="12" spans="1:9" ht="47.25">
      <c r="A12" s="68">
        <v>9</v>
      </c>
      <c r="B12" s="74" t="s">
        <v>104</v>
      </c>
      <c r="C12" s="69">
        <v>44637</v>
      </c>
      <c r="D12" s="69">
        <v>44642</v>
      </c>
      <c r="E12" s="70">
        <f t="shared" si="0"/>
        <v>6</v>
      </c>
      <c r="F12" s="68">
        <v>30000</v>
      </c>
      <c r="G12" s="68">
        <f t="shared" si="1"/>
        <v>9000</v>
      </c>
    </row>
    <row r="13" spans="1:9" ht="47.25">
      <c r="A13" s="68">
        <v>10</v>
      </c>
      <c r="B13" s="74" t="s">
        <v>104</v>
      </c>
      <c r="C13" s="69">
        <v>44665</v>
      </c>
      <c r="D13" s="69">
        <v>44677</v>
      </c>
      <c r="E13" s="70">
        <f t="shared" si="0"/>
        <v>13</v>
      </c>
      <c r="F13" s="68"/>
      <c r="G13" s="68">
        <f t="shared" si="1"/>
        <v>19500</v>
      </c>
    </row>
    <row r="14" spans="1:9" ht="15.75">
      <c r="A14" s="68">
        <v>11</v>
      </c>
      <c r="B14" s="74" t="s">
        <v>128</v>
      </c>
      <c r="C14" s="69"/>
      <c r="D14" s="69"/>
      <c r="E14" s="70"/>
      <c r="F14" s="68"/>
      <c r="G14" s="68">
        <f>-'Vijayawada Account'!D207</f>
        <v>3393</v>
      </c>
    </row>
    <row r="15" spans="1:9" ht="47.25">
      <c r="A15" s="68">
        <v>12</v>
      </c>
      <c r="B15" s="74" t="s">
        <v>131</v>
      </c>
      <c r="C15" s="69"/>
      <c r="D15" s="69"/>
      <c r="E15" s="70"/>
      <c r="F15" s="68">
        <v>20000</v>
      </c>
      <c r="G15" s="68"/>
    </row>
    <row r="16" spans="1:9" ht="47.25">
      <c r="A16" s="68">
        <v>13</v>
      </c>
      <c r="B16" s="74" t="s">
        <v>104</v>
      </c>
      <c r="C16" s="69">
        <v>44692</v>
      </c>
      <c r="D16" s="69">
        <v>44696</v>
      </c>
      <c r="E16" s="70">
        <f t="shared" ref="E16:E19" si="2">+D16-C16+1</f>
        <v>5</v>
      </c>
      <c r="F16" s="68"/>
      <c r="G16" s="68">
        <f t="shared" ref="G16:G19" si="3">+E16*1500</f>
        <v>7500</v>
      </c>
    </row>
    <row r="17" spans="1:7" ht="47.25">
      <c r="A17" s="68">
        <v>14</v>
      </c>
      <c r="B17" s="74" t="s">
        <v>104</v>
      </c>
      <c r="C17" s="69">
        <v>44701</v>
      </c>
      <c r="D17" s="69">
        <v>44710</v>
      </c>
      <c r="E17" s="70">
        <f t="shared" si="2"/>
        <v>10</v>
      </c>
      <c r="F17" s="68"/>
      <c r="G17" s="68">
        <f t="shared" si="3"/>
        <v>15000</v>
      </c>
    </row>
    <row r="18" spans="1:7" ht="47.25">
      <c r="A18" s="68">
        <v>15</v>
      </c>
      <c r="B18" s="74" t="s">
        <v>135</v>
      </c>
      <c r="C18" s="69"/>
      <c r="D18" s="69"/>
      <c r="E18" s="70"/>
      <c r="F18" s="68">
        <v>30000</v>
      </c>
      <c r="G18" s="68"/>
    </row>
    <row r="19" spans="1:7" ht="31.5">
      <c r="A19" s="68">
        <v>16</v>
      </c>
      <c r="B19" s="74" t="s">
        <v>136</v>
      </c>
      <c r="C19" s="69">
        <v>44742</v>
      </c>
      <c r="D19" s="69">
        <v>44742</v>
      </c>
      <c r="E19" s="70">
        <f t="shared" si="2"/>
        <v>1</v>
      </c>
      <c r="F19" s="68"/>
      <c r="G19" s="68">
        <f t="shared" si="3"/>
        <v>1500</v>
      </c>
    </row>
    <row r="20" spans="1:7" ht="31.5">
      <c r="A20" s="68">
        <v>17</v>
      </c>
      <c r="B20" s="74" t="s">
        <v>136</v>
      </c>
      <c r="C20" s="69">
        <v>44750</v>
      </c>
      <c r="D20" s="69">
        <v>44750</v>
      </c>
      <c r="E20" s="70">
        <f t="shared" ref="E20" si="4">+D20-C20+1</f>
        <v>1</v>
      </c>
      <c r="F20" s="68"/>
      <c r="G20" s="68">
        <f t="shared" ref="G20" si="5">+E20*1500</f>
        <v>1500</v>
      </c>
    </row>
    <row r="21" spans="1:7" ht="47.25">
      <c r="A21" s="68">
        <v>18</v>
      </c>
      <c r="B21" s="74" t="s">
        <v>137</v>
      </c>
      <c r="C21" s="69">
        <v>44763</v>
      </c>
      <c r="D21" s="69">
        <v>44764</v>
      </c>
      <c r="E21" s="70">
        <f t="shared" ref="E21:E22" si="6">+D21-C21+1</f>
        <v>2</v>
      </c>
      <c r="F21" s="68"/>
      <c r="G21" s="68">
        <f t="shared" ref="G21:G22" si="7">+E21*1500</f>
        <v>3000</v>
      </c>
    </row>
    <row r="22" spans="1:7" ht="47.25">
      <c r="A22" s="68">
        <v>19</v>
      </c>
      <c r="B22" s="74" t="s">
        <v>139</v>
      </c>
      <c r="C22" s="69">
        <v>44772</v>
      </c>
      <c r="D22" s="69"/>
      <c r="E22" s="70"/>
      <c r="F22" s="68"/>
      <c r="G22" s="68">
        <f t="shared" si="7"/>
        <v>0</v>
      </c>
    </row>
    <row r="23" spans="1:7" ht="15.75">
      <c r="A23" s="68"/>
      <c r="B23" s="74"/>
      <c r="C23" s="69"/>
      <c r="D23" s="69"/>
      <c r="E23" s="70"/>
      <c r="F23" s="68"/>
      <c r="G23" s="68"/>
    </row>
    <row r="24" spans="1:7" ht="15.75">
      <c r="A24" s="68"/>
      <c r="B24" s="74"/>
      <c r="C24" s="69"/>
      <c r="D24" s="69"/>
      <c r="E24" s="70"/>
      <c r="F24" s="68"/>
      <c r="G24" s="68"/>
    </row>
    <row r="25" spans="1:7" ht="15.75">
      <c r="A25" s="68"/>
      <c r="B25" s="74"/>
      <c r="C25" s="69"/>
      <c r="D25" s="69"/>
      <c r="E25" s="70"/>
      <c r="F25" s="68"/>
      <c r="G25" s="68"/>
    </row>
    <row r="26" spans="1:7" ht="15.75">
      <c r="A26" s="68"/>
      <c r="B26" s="74"/>
      <c r="C26" s="69"/>
      <c r="D26" s="69"/>
      <c r="E26" s="70"/>
      <c r="F26" s="68"/>
      <c r="G26" s="68"/>
    </row>
    <row r="27" spans="1:7" ht="15.75">
      <c r="A27" s="68"/>
      <c r="B27" s="74"/>
      <c r="C27" s="69"/>
      <c r="D27" s="69"/>
      <c r="E27" s="70"/>
      <c r="F27" s="68"/>
      <c r="G27" s="68"/>
    </row>
    <row r="28" spans="1:7" ht="15.75">
      <c r="A28" s="68"/>
      <c r="B28" s="74"/>
      <c r="C28" s="69"/>
      <c r="D28" s="69"/>
      <c r="E28" s="70"/>
      <c r="F28" s="68"/>
      <c r="G28" s="68"/>
    </row>
    <row r="29" spans="1:7" ht="15.75">
      <c r="A29" s="5"/>
      <c r="B29" s="71"/>
      <c r="C29" s="63"/>
      <c r="D29" s="63"/>
      <c r="E29" s="72" t="s">
        <v>30</v>
      </c>
      <c r="F29" s="73">
        <f>SUM(F4:F28)</f>
        <v>163500</v>
      </c>
      <c r="G29" s="73">
        <f>SUM(G4:G28)</f>
        <v>156393</v>
      </c>
    </row>
    <row r="30" spans="1:7">
      <c r="A30" s="6"/>
      <c r="B30" s="58"/>
      <c r="C30" s="59"/>
      <c r="D30" s="59"/>
      <c r="E30" s="60"/>
      <c r="F30" s="6"/>
      <c r="G30" s="6"/>
    </row>
    <row r="32" spans="1:7">
      <c r="F32">
        <f>+F29</f>
        <v>163500</v>
      </c>
      <c r="G32">
        <f>+G29</f>
        <v>156393</v>
      </c>
    </row>
    <row r="33" spans="5:7" ht="15.75">
      <c r="E33" t="s">
        <v>129</v>
      </c>
      <c r="G33" s="79">
        <f>+G32-F32</f>
        <v>-7107</v>
      </c>
    </row>
  </sheetData>
  <mergeCells count="7">
    <mergeCell ref="A1:G1"/>
    <mergeCell ref="E2:E3"/>
    <mergeCell ref="C2:D2"/>
    <mergeCell ref="F2:F3"/>
    <mergeCell ref="G2:G3"/>
    <mergeCell ref="B2:B3"/>
    <mergeCell ref="A2:A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7" orientation="portrait" horizontalDpi="200" verticalDpi="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B6" sqref="B6"/>
    </sheetView>
  </sheetViews>
  <sheetFormatPr defaultRowHeight="15"/>
  <sheetData>
    <row r="1" spans="1:2">
      <c r="A1" t="s">
        <v>75</v>
      </c>
      <c r="B1">
        <v>15000</v>
      </c>
    </row>
    <row r="2" spans="1:2">
      <c r="A2" t="s">
        <v>76</v>
      </c>
      <c r="B2">
        <v>4000</v>
      </c>
    </row>
    <row r="3" spans="1:2">
      <c r="A3" t="s">
        <v>77</v>
      </c>
      <c r="B3">
        <v>2000</v>
      </c>
    </row>
    <row r="4" spans="1:2">
      <c r="A4" t="s">
        <v>78</v>
      </c>
      <c r="B4">
        <v>2000</v>
      </c>
    </row>
    <row r="5" spans="1:2">
      <c r="A5" t="s">
        <v>79</v>
      </c>
      <c r="B5">
        <v>1000</v>
      </c>
    </row>
    <row r="6" spans="1:2">
      <c r="B6">
        <f>SUM(B1:B5)</f>
        <v>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Indalwai Account</vt:lpstr>
      <vt:lpstr>Vijayawada Account</vt:lpstr>
      <vt:lpstr>Ramagundam Account</vt:lpstr>
      <vt:lpstr>Daily Basis</vt:lpstr>
      <vt:lpstr>Sheet1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Inc.</dc:creator>
  <cp:lastModifiedBy>chandra hasa</cp:lastModifiedBy>
  <cp:lastPrinted>2022-04-25T13:13:13Z</cp:lastPrinted>
  <dcterms:created xsi:type="dcterms:W3CDTF">2020-12-14T04:41:00Z</dcterms:created>
  <dcterms:modified xsi:type="dcterms:W3CDTF">2022-07-29T05:08:24Z</dcterms:modified>
</cp:coreProperties>
</file>